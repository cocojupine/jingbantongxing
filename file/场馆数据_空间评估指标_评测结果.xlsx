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activeTab="3"/>
  </bookViews>
  <sheets>
    <sheet name="水母" sheetId="1" r:id="rId1"/>
    <sheet name="白鲸" sheetId="2" r:id="rId2"/>
    <sheet name="企鹅" sheetId="3" r:id="rId3"/>
    <sheet name="雨林海豚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<sst xmlns="http://schemas.openxmlformats.org/spreadsheetml/2006/main" count="832" uniqueCount="182">
  <si>
    <t>（1）视觉刺激</t>
  </si>
  <si>
    <t>编号</t>
  </si>
  <si>
    <t>评估问题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</si>
  <si>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分（低刺激）</t>
    </r>
  </si>
  <si>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分（高刺激）</t>
    </r>
  </si>
  <si>
    <t>A</t>
  </si>
  <si>
    <t>B</t>
  </si>
  <si>
    <t>C</t>
  </si>
  <si>
    <t>D</t>
  </si>
  <si>
    <t>E</t>
  </si>
  <si>
    <t>F</t>
  </si>
  <si>
    <t>G</t>
  </si>
  <si>
    <t>总</t>
  </si>
  <si>
    <t>均</t>
  </si>
  <si>
    <t>墙面、地面、天花板的颜色</t>
  </si>
  <si>
    <t>柔和、低饱和度（如米白、浅灰）</t>
  </si>
  <si>
    <t>鲜艳、高饱和度（如亮红、明黄）</t>
  </si>
  <si>
    <t>家具、设备布置的视觉复杂程度</t>
  </si>
  <si>
    <t>家具、设备放置靠边，中间空旷，布局简洁</t>
  </si>
  <si>
    <t>家具、设备放置杂乱，通道拥挤，视觉混乱</t>
  </si>
  <si>
    <t>空间视觉图案的复杂程度</t>
  </si>
  <si>
    <t>纯色或简单纹理</t>
  </si>
  <si>
    <t>复杂、高度对比图案（如条纹、波点、多色调复杂花纹）</t>
  </si>
  <si>
    <t>空间装饰品如窗帘等软装视觉刺激干扰</t>
  </si>
  <si>
    <t>纯色、无图案、无反光</t>
  </si>
  <si>
    <t>强烈图案、反光或闪光材料</t>
  </si>
  <si>
    <t>工作人员服饰及饰品视觉刺激干扰</t>
  </si>
  <si>
    <t>朴素、无强烈视觉冲击</t>
  </si>
  <si>
    <t>鲜艳、反光、复杂图案</t>
  </si>
  <si>
    <t>照明类型和强度</t>
  </si>
  <si>
    <t>柔和、均匀的间接照明，无频闪</t>
  </si>
  <si>
    <t>刺眼的荧光灯、频闪灯或强光直射</t>
  </si>
  <si>
    <t>自然光控制</t>
  </si>
  <si>
    <t>有遮光措施，避免阳光直射和反光</t>
  </si>
  <si>
    <t>无遮光，阳光直射造成眩光或强烈反光</t>
  </si>
  <si>
    <t>海洋动物整体色彩和运动模式</t>
  </si>
  <si>
    <t>动物色彩单一、运动缓慢</t>
  </si>
  <si>
    <t>动物色彩艳丽、运动快速多变（如热带鱼群、水母灯光）</t>
  </si>
  <si>
    <t>水族箱内的灯光效果</t>
  </si>
  <si>
    <t>灯光柔和、稳定</t>
  </si>
  <si>
    <t>灯光频繁变幻、色彩强烈闪烁</t>
  </si>
  <si>
    <t>多媒体投影或屏幕</t>
  </si>
  <si>
    <t>内容简单、节奏缓慢</t>
  </si>
  <si>
    <t>快速切换画面、高亮度、动态效果强烈</t>
  </si>
  <si>
    <t>场馆内的装饰和主题元素</t>
  </si>
  <si>
    <t>装饰简洁、与动物协调</t>
  </si>
  <si>
    <t>装饰复杂、色彩杂乱、过多人造元素</t>
  </si>
  <si>
    <t>场馆内人群密度</t>
  </si>
  <si>
    <t>人群稀疏，行动空间大</t>
  </si>
  <si>
    <t>人群密集，摩肩接踵</t>
  </si>
  <si>
    <t>人群移动速度</t>
  </si>
  <si>
    <t>人流缓慢、稳定</t>
  </si>
  <si>
    <t>人流快速、混乱、冲撞</t>
  </si>
  <si>
    <t>合计</t>
  </si>
  <si>
    <t>平均分</t>
  </si>
  <si>
    <r>
      <t>（</t>
    </r>
    <r>
      <rPr>
        <b/>
        <sz val="11"/>
        <color theme="1"/>
        <rFont val="Calibri"/>
        <charset val="134"/>
      </rPr>
      <t>2</t>
    </r>
    <r>
      <rPr>
        <b/>
        <sz val="11"/>
        <color theme="1"/>
        <rFont val="宋体"/>
        <charset val="134"/>
      </rPr>
      <t>）嗅觉刺激</t>
    </r>
  </si>
  <si>
    <t>平</t>
  </si>
  <si>
    <t>装修材料气味</t>
  </si>
  <si>
    <t>无味</t>
  </si>
  <si>
    <t>强烈刺激性气味（油漆、胶水等）</t>
  </si>
  <si>
    <t>清洁用品气味</t>
  </si>
  <si>
    <t>无香</t>
  </si>
  <si>
    <t>浓烈香味或刺激气味（漂白水、空气清新剂等）</t>
  </si>
  <si>
    <t>环境中人体气味（香水、体味等）</t>
  </si>
  <si>
    <t>无明显气味</t>
  </si>
  <si>
    <t>浓烈香水、汗味等</t>
  </si>
  <si>
    <t>不同区域气味扩散程度</t>
  </si>
  <si>
    <t>气味隔离良好，无异味串扰</t>
  </si>
  <si>
    <t>气味在建筑内明显扩散</t>
  </si>
  <si>
    <t>海洋生物本身的气味（如鱼腥味）</t>
  </si>
  <si>
    <t>浓烈鱼腥味或其他海洋生物异味</t>
  </si>
  <si>
    <t>水体的气味</t>
  </si>
  <si>
    <t>无味或清新</t>
  </si>
  <si>
    <t>海水腥味或化学添加剂气味</t>
  </si>
  <si>
    <t>动物饲料或饵料气味</t>
  </si>
  <si>
    <t>浓烈腥味或发酵气味</t>
  </si>
  <si>
    <t>餐饮区食物气味扩散</t>
  </si>
  <si>
    <t>气味控制在餐饮区内</t>
  </si>
  <si>
    <t>食物气味弥漫至其他区域</t>
  </si>
  <si>
    <t xml:space="preserve"> </t>
  </si>
  <si>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3</t>
    </r>
    <r>
      <rPr>
        <b/>
        <sz val="11"/>
        <color theme="1"/>
        <rFont val="宋体"/>
        <charset val="134"/>
      </rPr>
      <t>）听觉刺激</t>
    </r>
  </si>
  <si>
    <t>区域整体噪音水平</t>
  </si>
  <si>
    <t>几乎感觉不到声音</t>
  </si>
  <si>
    <t>持续高分贝噪音（机器声、喧哗人声）</t>
  </si>
  <si>
    <t>特定噪音（如空调声、广播声、机械声）</t>
  </si>
  <si>
    <t>无此类噪音</t>
  </si>
  <si>
    <t>有明显持续或突发的刺耳噪音</t>
  </si>
  <si>
    <t>地面噪音（脚步声、拖动桌椅声）</t>
  </si>
  <si>
    <t>地面有吸音处理，噪音极小</t>
  </si>
  <si>
    <t>地面硬质，噪音明显</t>
  </si>
  <si>
    <t>噪音的时间变化</t>
  </si>
  <si>
    <t>全天噪音水平稳定且低</t>
  </si>
  <si>
    <t>有明显的高噪音时段，且不可预测</t>
  </si>
  <si>
    <t>空间分区（安静区与活动区）</t>
  </si>
  <si>
    <t>明确的安静区和活动区，可自由选择</t>
  </si>
  <si>
    <t>无分区，所有区域噪音一致</t>
  </si>
  <si>
    <t>表演场馆的背景音乐和解说声</t>
  </si>
  <si>
    <t>音乐舒缓、解说音量适中</t>
  </si>
  <si>
    <t>音乐激烈、解说声过大或突然</t>
  </si>
  <si>
    <t>游客互动区的人声喧哗</t>
  </si>
  <si>
    <t>人声稀少、平和</t>
  </si>
  <si>
    <t>大量游客尖叫、喧哗</t>
  </si>
  <si>
    <t>海洋动物的叫声或声音（如白鲸叫声）</t>
  </si>
  <si>
    <t>动物叫声轻柔、偶尔</t>
  </si>
  <si>
    <t>动物叫声频繁、响亮或刺耳</t>
  </si>
  <si>
    <t>海洋馆内的水流、水泵声</t>
  </si>
  <si>
    <t>水流声轻柔、恒定</t>
  </si>
  <si>
    <t>水流声嘈杂、突兀或伴有机械噪音</t>
  </si>
  <si>
    <t>备注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</si>
  <si>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20</t>
    </r>
    <r>
      <rPr>
        <sz val="11"/>
        <color theme="1"/>
        <rFont val="宋体"/>
        <charset val="134"/>
      </rPr>
      <t>分贝：很静、几乎感觉不到、</t>
    </r>
    <r>
      <rPr>
        <sz val="11"/>
        <color theme="1"/>
        <rFont val="Calibri"/>
        <charset val="134"/>
      </rPr>
      <t>20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40</t>
    </r>
    <r>
      <rPr>
        <sz val="11"/>
        <color theme="1"/>
        <rFont val="宋体"/>
        <charset val="134"/>
      </rPr>
      <t>分贝：安静、犹如轻声语、</t>
    </r>
    <r>
      <rPr>
        <sz val="11"/>
        <color theme="1"/>
        <rFont val="Calibri"/>
        <charset val="134"/>
      </rPr>
      <t>40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60</t>
    </r>
    <r>
      <rPr>
        <sz val="11"/>
        <color theme="1"/>
        <rFont val="宋体"/>
        <charset val="134"/>
      </rPr>
      <t>分贝：一般普通室内谈话、</t>
    </r>
    <r>
      <rPr>
        <sz val="11"/>
        <color theme="1"/>
        <rFont val="Calibri"/>
        <charset val="134"/>
      </rPr>
      <t>60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70</t>
    </r>
    <r>
      <rPr>
        <sz val="11"/>
        <color theme="1"/>
        <rFont val="宋体"/>
        <charset val="134"/>
      </rPr>
      <t>分贝：吵闹、有损神经、</t>
    </r>
    <r>
      <rPr>
        <sz val="11"/>
        <color theme="1"/>
        <rFont val="Calibri"/>
        <charset val="134"/>
      </rPr>
      <t>70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90</t>
    </r>
    <r>
      <rPr>
        <sz val="11"/>
        <color theme="1"/>
        <rFont val="宋体"/>
        <charset val="134"/>
      </rPr>
      <t>分贝：很吵、神经细胞受到破坏、</t>
    </r>
    <r>
      <rPr>
        <sz val="11"/>
        <color theme="1"/>
        <rFont val="Calibri"/>
        <charset val="134"/>
      </rPr>
      <t>90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100</t>
    </r>
    <r>
      <rPr>
        <sz val="11"/>
        <color theme="1"/>
        <rFont val="宋体"/>
        <charset val="134"/>
      </rPr>
      <t>分贝：吵闹加剧、听力受损</t>
    </r>
  </si>
  <si>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4</t>
    </r>
    <r>
      <rPr>
        <b/>
        <sz val="11"/>
        <color theme="1"/>
        <rFont val="宋体"/>
        <charset val="134"/>
      </rPr>
      <t>）触觉刺激</t>
    </r>
  </si>
  <si>
    <t>环境中可接触的触觉材料（如墙面、地面、家具质感）</t>
  </si>
  <si>
    <t>表面质感单一、温和</t>
  </si>
  <si>
    <t>丰富多样的触觉材料，多种质感可接触</t>
  </si>
  <si>
    <t>环境中可提供深度压力触觉的机会（如按摩椅、挤压空间）</t>
  </si>
  <si>
    <t>无此类机会</t>
  </si>
  <si>
    <t>有专门的深度压力设施或工具</t>
  </si>
  <si>
    <t>环境中存在的潜在危险触觉刺激（如热表面、尖锐边缘）</t>
  </si>
  <si>
    <t>无危险触觉刺激</t>
  </si>
  <si>
    <t>存在明显的热表面或尖锐物，且无防护</t>
  </si>
  <si>
    <t>环境中可提供轻柔触觉刺激的设施（如软垫、毛绒玩具等）</t>
  </si>
  <si>
    <t>无</t>
  </si>
  <si>
    <t>丰富多样</t>
  </si>
  <si>
    <t>触摸池体验（可触摸海洋生物）</t>
  </si>
  <si>
    <t>生物体表光滑温和</t>
  </si>
  <si>
    <t>生物体表粗糙、粘滑或可能反应剧烈</t>
  </si>
  <si>
    <t>与动物互动的机会（如喂食、抚摸）</t>
  </si>
  <si>
    <t>互动温和、受控</t>
  </si>
  <si>
    <t>互动突然、不可预测或强制</t>
  </si>
  <si>
    <t>水景互动（如喷泉、喷雾）</t>
  </si>
  <si>
    <t>水温和、可控</t>
  </si>
  <si>
    <t>水压大、突然喷出</t>
  </si>
  <si>
    <t>场馆内座椅、栏杆等设施的触感</t>
  </si>
  <si>
    <t>材质舒适、温度适中</t>
  </si>
  <si>
    <t>材质冰冷、粗糙或过热</t>
  </si>
  <si>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5</t>
    </r>
    <r>
      <rPr>
        <b/>
        <sz val="11"/>
        <color theme="1"/>
        <rFont val="宋体"/>
        <charset val="134"/>
      </rPr>
      <t>）味觉刺激</t>
    </r>
  </si>
  <si>
    <t>环境中提供的食物的味道强度</t>
  </si>
  <si>
    <t>食物味道清淡、单一</t>
  </si>
  <si>
    <t>食物味道浓烈、多样（如辛辣、酸甜苦辣咸俱全）</t>
  </si>
  <si>
    <t>食物的质地多样性</t>
  </si>
  <si>
    <t>质地单一（如全是流质）</t>
  </si>
  <si>
    <t>质地多样（软、硬、脆、粘等）</t>
  </si>
  <si>
    <t>食物的温度多样性</t>
  </si>
  <si>
    <t>温度单一（如全是常温）</t>
  </si>
  <si>
    <t>温度多样（冷、热、冰）</t>
  </si>
  <si>
    <t>食物摆放是否分开</t>
  </si>
  <si>
    <t>食物分开摆放，不互相接触</t>
  </si>
  <si>
    <t>食物混放，互相接触</t>
  </si>
  <si>
    <t>环境中食物气味的强度</t>
  </si>
  <si>
    <t>无明显食物气味</t>
  </si>
  <si>
    <t>浓烈食物气味弥漫</t>
  </si>
  <si>
    <t>餐饮区是否提供多种口味选择以满足不同敏感度</t>
  </si>
  <si>
    <t>有清淡选项</t>
  </si>
  <si>
    <t>仅有强烈口味选项</t>
  </si>
  <si>
    <t>感官刺激</t>
  </si>
  <si>
    <t>视觉</t>
  </si>
  <si>
    <t>该场馆为室内游览，灯光较暗；水族箱使用LED彩灯，视觉对比比较强烈；水母游动较慢，视觉影响较低；</t>
  </si>
  <si>
    <t>嗅觉</t>
  </si>
  <si>
    <t>本场馆对嗅觉刺激不大</t>
  </si>
  <si>
    <t>听觉</t>
  </si>
  <si>
    <t>海洋公园背景音乐和游客声浪；场内设置木地板，有明显脚步声；</t>
  </si>
  <si>
    <t>触觉</t>
  </si>
  <si>
    <t>参加者可自主探索；可能会与游客接触；有玻璃触摸体验；</t>
  </si>
  <si>
    <t>味觉</t>
  </si>
  <si>
    <t>本场馆对味觉刺激不大</t>
  </si>
  <si>
    <t>/</t>
  </si>
  <si>
    <t>1、视觉刺激</t>
  </si>
  <si>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2</t>
    </r>
    <r>
      <rPr>
        <b/>
        <sz val="11"/>
        <color theme="1"/>
        <rFont val="宋体"/>
        <charset val="134"/>
      </rPr>
      <t>）嗅觉刺激</t>
    </r>
  </si>
  <si>
    <t>评分</t>
  </si>
  <si>
    <t>该场馆二楼浮冰剧场室内上方设有灯光，并引入自然阳光；二楼水池有白鲸游动，且游动速度快；注意水花溅出；</t>
  </si>
  <si>
    <t>室内或有氯气味、鱼腥味和饵料味；一楼企鹅隧道有抽湿机，或有弥散性气味；</t>
  </si>
  <si>
    <t>有突发的白鲸叫声，可能声音尖锐；室内抽湿机机器声音；一楼白鲸隧道或产生回音；有广播声音；</t>
  </si>
  <si>
    <t>参加者可在专业指导下与白鲸互动；有玻璃触摸体验；可能会与游客接触；</t>
  </si>
  <si>
    <t>此餐厅提供菜单丰富，可接受定制；</t>
  </si>
  <si>
    <t>该场馆主要以白炽灯为主，颜色较为鲜明；二楼有两个企鹅观赏窗口，或有游客拥挤；一楼企鹅速调光线较亮，水波纹照射明显；</t>
  </si>
  <si>
    <t>室内或有较强烈的氯气味、鱼腥味和饵料味；一楼企鹅隧道有抽湿机，或有弥散性气味；</t>
  </si>
  <si>
    <t>室内抽湿机机器声音；一楼企鹅隧道或产生回音；企鹅无叫声；</t>
  </si>
  <si>
    <t>有玻璃触摸体验；可能会与游客接触；</t>
  </si>
  <si>
    <t>室内装饰较多且复杂，有视觉冲击；鱼类品种丰富，颜色较多；</t>
  </si>
  <si>
    <t>此馆较多露天水族箱，室内或有氯气味、鱼腥味和饵料味；二楼热带鱼水族缸会有雾气，或有弥散性潮湿气味；</t>
  </si>
  <si>
    <t>有水流动的声音；</t>
  </si>
  <si>
    <t>参加者可在专业指导下与海星、海豚和海龟互动；有玻璃触摸体验；可能会与游客接触；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</si>
</sst>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"/>
  <sheetViews>
    <sheetView topLeftCell="A63" workbookViewId="0">
      <selection activeCell="B81" sqref="B81"/>
    </sheetView>
  </sheetViews>
  <sheetFormatPr defaultColWidth="9" defaultRowHeight="13.5"/>
  <cols>
    <col min="1" max="1" width="9" style="18"/>
    <col min="2" max="2" width="27.7522123893805" style="18" customWidth="1"/>
    <col min="3" max="4" width="24.4955752212389" style="18" customWidth="1"/>
    <col min="5" max="10" width="12.7964601769912" style="18"/>
    <col min="11" max="11" width="9" style="18"/>
    <col min="12" max="12" width="12.7964601769912" style="18"/>
    <col min="13" max="13" width="14.8053097345133" style="18" customWidth="1"/>
    <col min="14" max="16384" width="9" style="18"/>
  </cols>
  <sheetData>
    <row r="1" ht="14.25" spans="1:13">
      <c r="A1" s="19" t="s">
        <v>0</v>
      </c>
      <c r="B1" s="20"/>
    </row>
    <row r="2" ht="33" customHeight="1" spans="1:13">
      <c r="A2" s="21" t="s">
        <v>1</v>
      </c>
      <c r="B2" s="21" t="s">
        <v>2</v>
      </c>
      <c r="C2" s="22" t="s">
        <v>3</v>
      </c>
      <c r="D2" s="22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</row>
    <row r="3" ht="33" customHeight="1" spans="1:13">
      <c r="A3" s="5">
        <v>1</v>
      </c>
      <c r="B3" s="6" t="s">
        <v>14</v>
      </c>
      <c r="C3" s="6" t="s">
        <v>15</v>
      </c>
      <c r="D3" s="6" t="s">
        <v>16</v>
      </c>
      <c r="E3" s="5">
        <v>2</v>
      </c>
      <c r="F3" s="5">
        <v>3</v>
      </c>
      <c r="G3" s="5">
        <v>10</v>
      </c>
      <c r="H3" s="5">
        <v>3</v>
      </c>
      <c r="I3" s="5">
        <v>8</v>
      </c>
      <c r="J3" s="5">
        <v>7</v>
      </c>
      <c r="K3" s="5">
        <v>7</v>
      </c>
      <c r="L3" s="5">
        <f>SUM(E3:K3)</f>
        <v>40</v>
      </c>
      <c r="M3" s="5">
        <f>L3/7</f>
        <v>5.71428571428571</v>
      </c>
    </row>
    <row r="4" ht="33" customHeight="1" spans="1:13">
      <c r="A4" s="5">
        <v>2</v>
      </c>
      <c r="B4" s="6" t="s">
        <v>17</v>
      </c>
      <c r="C4" s="6" t="s">
        <v>18</v>
      </c>
      <c r="D4" s="6" t="s">
        <v>19</v>
      </c>
      <c r="E4" s="5">
        <v>3</v>
      </c>
      <c r="F4" s="5">
        <v>10</v>
      </c>
      <c r="G4" s="5">
        <v>7</v>
      </c>
      <c r="H4" s="5">
        <v>3</v>
      </c>
      <c r="I4" s="5">
        <v>2</v>
      </c>
      <c r="J4" s="5">
        <v>3</v>
      </c>
      <c r="K4" s="5">
        <v>3</v>
      </c>
      <c r="L4" s="5">
        <f t="shared" ref="L4:L17" si="0">SUM(E4:K4)</f>
        <v>31</v>
      </c>
      <c r="M4" s="5">
        <f t="shared" ref="M4:M17" si="1">L4/7</f>
        <v>4.42857142857143</v>
      </c>
    </row>
    <row r="5" ht="47" customHeight="1" spans="1:13">
      <c r="A5" s="5">
        <v>3</v>
      </c>
      <c r="B5" s="6" t="s">
        <v>20</v>
      </c>
      <c r="C5" s="6" t="s">
        <v>21</v>
      </c>
      <c r="D5" s="6" t="s">
        <v>22</v>
      </c>
      <c r="E5" s="5">
        <v>2</v>
      </c>
      <c r="F5" s="5">
        <v>2</v>
      </c>
      <c r="G5" s="5">
        <v>5</v>
      </c>
      <c r="H5" s="5">
        <v>2</v>
      </c>
      <c r="I5" s="5">
        <v>1</v>
      </c>
      <c r="J5" s="5">
        <v>2</v>
      </c>
      <c r="K5" s="5">
        <v>5</v>
      </c>
      <c r="L5" s="5">
        <f t="shared" si="0"/>
        <v>19</v>
      </c>
      <c r="M5" s="5">
        <f t="shared" si="1"/>
        <v>2.71428571428571</v>
      </c>
    </row>
    <row r="6" ht="33" customHeight="1" spans="1:13">
      <c r="A6" s="5">
        <v>4</v>
      </c>
      <c r="B6" s="6" t="s">
        <v>23</v>
      </c>
      <c r="C6" s="6" t="s">
        <v>24</v>
      </c>
      <c r="D6" s="6" t="s">
        <v>25</v>
      </c>
      <c r="E6" s="5">
        <v>10</v>
      </c>
      <c r="F6" s="5">
        <v>3</v>
      </c>
      <c r="G6" s="5">
        <v>8</v>
      </c>
      <c r="H6" s="5">
        <v>4</v>
      </c>
      <c r="I6" s="5">
        <v>2</v>
      </c>
      <c r="J6" s="5">
        <v>2</v>
      </c>
      <c r="K6" s="5">
        <v>4</v>
      </c>
      <c r="L6" s="5">
        <f t="shared" si="0"/>
        <v>33</v>
      </c>
      <c r="M6" s="5">
        <f t="shared" si="1"/>
        <v>4.71428571428571</v>
      </c>
    </row>
    <row r="7" ht="33" customHeight="1" spans="1:13">
      <c r="A7" s="5">
        <v>5</v>
      </c>
      <c r="B7" s="6" t="s">
        <v>26</v>
      </c>
      <c r="C7" s="6" t="s">
        <v>27</v>
      </c>
      <c r="D7" s="6" t="s">
        <v>28</v>
      </c>
      <c r="E7" s="5">
        <v>2</v>
      </c>
      <c r="F7" s="5">
        <v>3</v>
      </c>
      <c r="G7" s="5">
        <v>7</v>
      </c>
      <c r="H7" s="5">
        <v>8</v>
      </c>
      <c r="I7" s="5">
        <v>1</v>
      </c>
      <c r="J7" s="5">
        <v>3</v>
      </c>
      <c r="K7" s="5">
        <v>1</v>
      </c>
      <c r="L7" s="5">
        <f t="shared" si="0"/>
        <v>25</v>
      </c>
      <c r="M7" s="5">
        <f t="shared" si="1"/>
        <v>3.57142857142857</v>
      </c>
    </row>
    <row r="8" ht="33" customHeight="1" spans="1:13">
      <c r="A8" s="5">
        <v>6</v>
      </c>
      <c r="B8" s="6" t="s">
        <v>29</v>
      </c>
      <c r="C8" s="6" t="s">
        <v>30</v>
      </c>
      <c r="D8" s="6" t="s">
        <v>31</v>
      </c>
      <c r="E8" s="5">
        <v>1</v>
      </c>
      <c r="F8" s="5">
        <v>2</v>
      </c>
      <c r="G8" s="5">
        <v>10</v>
      </c>
      <c r="H8" s="5">
        <v>5</v>
      </c>
      <c r="I8" s="5">
        <v>1</v>
      </c>
      <c r="J8" s="5">
        <v>3</v>
      </c>
      <c r="K8" s="5">
        <v>1</v>
      </c>
      <c r="L8" s="5">
        <f t="shared" si="0"/>
        <v>23</v>
      </c>
      <c r="M8" s="5">
        <f t="shared" si="1"/>
        <v>3.28571428571429</v>
      </c>
    </row>
    <row r="9" ht="33" customHeight="1" spans="1:13">
      <c r="A9" s="5">
        <v>7</v>
      </c>
      <c r="B9" s="6" t="s">
        <v>32</v>
      </c>
      <c r="C9" s="6" t="s">
        <v>33</v>
      </c>
      <c r="D9" s="6" t="s">
        <v>34</v>
      </c>
      <c r="E9" s="5">
        <v>2</v>
      </c>
      <c r="F9" s="5">
        <v>3</v>
      </c>
      <c r="G9" s="5">
        <v>1</v>
      </c>
      <c r="H9" s="5">
        <v>4</v>
      </c>
      <c r="I9" s="5">
        <v>7</v>
      </c>
      <c r="J9" s="5">
        <v>1</v>
      </c>
      <c r="K9" s="5">
        <v>1</v>
      </c>
      <c r="L9" s="5">
        <f t="shared" si="0"/>
        <v>19</v>
      </c>
      <c r="M9" s="5">
        <f t="shared" si="1"/>
        <v>2.71428571428571</v>
      </c>
    </row>
    <row r="10" ht="33" customHeight="1" spans="1:13">
      <c r="A10" s="5">
        <v>8</v>
      </c>
      <c r="B10" s="6" t="s">
        <v>35</v>
      </c>
      <c r="C10" s="6" t="s">
        <v>36</v>
      </c>
      <c r="D10" s="6" t="s">
        <v>37</v>
      </c>
      <c r="E10" s="5">
        <v>5</v>
      </c>
      <c r="F10" s="5">
        <v>2</v>
      </c>
      <c r="G10" s="5">
        <v>10</v>
      </c>
      <c r="H10" s="5">
        <v>4</v>
      </c>
      <c r="I10" s="5">
        <v>1</v>
      </c>
      <c r="J10" s="5">
        <v>4</v>
      </c>
      <c r="K10" s="5">
        <v>4</v>
      </c>
      <c r="L10" s="5">
        <f t="shared" si="0"/>
        <v>30</v>
      </c>
      <c r="M10" s="5">
        <f t="shared" si="1"/>
        <v>4.28571428571429</v>
      </c>
    </row>
    <row r="11" ht="33" customHeight="1" spans="1:13">
      <c r="A11" s="5">
        <v>9</v>
      </c>
      <c r="B11" s="6" t="s">
        <v>38</v>
      </c>
      <c r="C11" s="6" t="s">
        <v>39</v>
      </c>
      <c r="D11" s="6" t="s">
        <v>40</v>
      </c>
      <c r="E11" s="5">
        <v>2</v>
      </c>
      <c r="F11" s="5">
        <v>3</v>
      </c>
      <c r="G11" s="5">
        <v>10</v>
      </c>
      <c r="H11" s="5">
        <v>2</v>
      </c>
      <c r="I11" s="5">
        <v>1</v>
      </c>
      <c r="J11" s="5">
        <v>3</v>
      </c>
      <c r="K11" s="5">
        <v>7</v>
      </c>
      <c r="L11" s="5">
        <f t="shared" si="0"/>
        <v>28</v>
      </c>
      <c r="M11" s="5">
        <f t="shared" si="1"/>
        <v>4</v>
      </c>
    </row>
    <row r="12" ht="33" customHeight="1" spans="1:13">
      <c r="A12" s="5">
        <v>10</v>
      </c>
      <c r="B12" s="6" t="s">
        <v>41</v>
      </c>
      <c r="C12" s="6" t="s">
        <v>42</v>
      </c>
      <c r="D12" s="6" t="s">
        <v>43</v>
      </c>
      <c r="E12" s="5">
        <v>1</v>
      </c>
      <c r="F12" s="5">
        <v>3</v>
      </c>
      <c r="G12" s="5">
        <v>9</v>
      </c>
      <c r="H12" s="5">
        <v>4</v>
      </c>
      <c r="I12" s="5">
        <v>1</v>
      </c>
      <c r="J12" s="5">
        <v>1</v>
      </c>
      <c r="K12" s="5">
        <v>2</v>
      </c>
      <c r="L12" s="5">
        <f t="shared" si="0"/>
        <v>21</v>
      </c>
      <c r="M12" s="5">
        <f t="shared" si="1"/>
        <v>3</v>
      </c>
    </row>
    <row r="13" ht="33" customHeight="1" spans="1:13">
      <c r="A13" s="5">
        <v>11</v>
      </c>
      <c r="B13" s="6" t="s">
        <v>44</v>
      </c>
      <c r="C13" s="6" t="s">
        <v>45</v>
      </c>
      <c r="D13" s="6" t="s">
        <v>46</v>
      </c>
      <c r="E13" s="5">
        <v>10</v>
      </c>
      <c r="F13" s="5">
        <v>4</v>
      </c>
      <c r="G13" s="5">
        <v>10</v>
      </c>
      <c r="H13" s="5">
        <v>5</v>
      </c>
      <c r="I13" s="5">
        <v>1</v>
      </c>
      <c r="J13" s="5">
        <v>2</v>
      </c>
      <c r="K13" s="5">
        <v>2</v>
      </c>
      <c r="L13" s="5">
        <f t="shared" si="0"/>
        <v>34</v>
      </c>
      <c r="M13" s="5">
        <f t="shared" si="1"/>
        <v>4.85714285714286</v>
      </c>
    </row>
    <row r="14" ht="33" customHeight="1" spans="1:13">
      <c r="A14" s="5">
        <v>12</v>
      </c>
      <c r="B14" s="6" t="s">
        <v>47</v>
      </c>
      <c r="C14" s="6" t="s">
        <v>48</v>
      </c>
      <c r="D14" s="6" t="s">
        <v>49</v>
      </c>
      <c r="E14" s="5">
        <v>2</v>
      </c>
      <c r="F14" s="5">
        <v>3</v>
      </c>
      <c r="G14" s="5">
        <v>1</v>
      </c>
      <c r="H14" s="5">
        <v>6</v>
      </c>
      <c r="I14" s="5">
        <v>1</v>
      </c>
      <c r="J14" s="5">
        <v>2</v>
      </c>
      <c r="K14" s="5">
        <v>1</v>
      </c>
      <c r="L14" s="5">
        <f t="shared" si="0"/>
        <v>16</v>
      </c>
      <c r="M14" s="5">
        <f t="shared" si="1"/>
        <v>2.28571428571429</v>
      </c>
    </row>
    <row r="15" ht="33" customHeight="1" spans="1:13">
      <c r="A15" s="5">
        <v>13</v>
      </c>
      <c r="B15" s="6" t="s">
        <v>50</v>
      </c>
      <c r="C15" s="6" t="s">
        <v>51</v>
      </c>
      <c r="D15" s="6" t="s">
        <v>52</v>
      </c>
      <c r="E15" s="5">
        <v>1</v>
      </c>
      <c r="F15" s="5">
        <v>2</v>
      </c>
      <c r="G15" s="5">
        <v>1</v>
      </c>
      <c r="H15" s="5">
        <v>4</v>
      </c>
      <c r="I15" s="5">
        <v>1</v>
      </c>
      <c r="J15" s="5">
        <v>2</v>
      </c>
      <c r="K15" s="5">
        <v>1</v>
      </c>
      <c r="L15" s="5">
        <f t="shared" si="0"/>
        <v>12</v>
      </c>
      <c r="M15" s="5">
        <f t="shared" si="1"/>
        <v>1.71428571428571</v>
      </c>
    </row>
    <row r="16" ht="16.5" customHeight="1" spans="1:13">
      <c r="A16" s="7" t="s">
        <v>53</v>
      </c>
      <c r="B16" s="7"/>
      <c r="C16" s="7"/>
      <c r="D16" s="7"/>
      <c r="E16" s="5">
        <f t="shared" ref="E16:K16" si="2">SUM(E3:E15)</f>
        <v>43</v>
      </c>
      <c r="F16" s="5">
        <f t="shared" si="2"/>
        <v>43</v>
      </c>
      <c r="G16" s="5">
        <f t="shared" si="2"/>
        <v>89</v>
      </c>
      <c r="H16" s="5">
        <f t="shared" si="2"/>
        <v>54</v>
      </c>
      <c r="I16" s="5">
        <f t="shared" si="2"/>
        <v>28</v>
      </c>
      <c r="J16" s="5">
        <f t="shared" si="2"/>
        <v>35</v>
      </c>
      <c r="K16" s="5">
        <f t="shared" si="2"/>
        <v>39</v>
      </c>
      <c r="L16" s="5">
        <f t="shared" si="0"/>
        <v>331</v>
      </c>
      <c r="M16" s="5">
        <f t="shared" si="1"/>
        <v>47.2857142857143</v>
      </c>
    </row>
    <row r="17" ht="15" spans="1:13">
      <c r="A17" s="7" t="s">
        <v>54</v>
      </c>
      <c r="B17" s="7"/>
      <c r="C17" s="7"/>
      <c r="D17" s="7"/>
      <c r="E17" s="5">
        <f>E16/13</f>
        <v>3.30769230769231</v>
      </c>
      <c r="F17" s="5">
        <f t="shared" ref="F17:K17" si="3">F16/13</f>
        <v>3.30769230769231</v>
      </c>
      <c r="G17" s="5">
        <f t="shared" si="3"/>
        <v>6.84615384615385</v>
      </c>
      <c r="H17" s="5">
        <f t="shared" si="3"/>
        <v>4.15384615384615</v>
      </c>
      <c r="I17" s="5">
        <f t="shared" si="3"/>
        <v>2.15384615384615</v>
      </c>
      <c r="J17" s="5">
        <f t="shared" si="3"/>
        <v>2.69230769230769</v>
      </c>
      <c r="K17" s="5">
        <f t="shared" si="3"/>
        <v>3</v>
      </c>
      <c r="L17" s="5">
        <f t="shared" si="0"/>
        <v>25.4615384615385</v>
      </c>
      <c r="M17" s="5">
        <f t="shared" si="1"/>
        <v>3.63736263736264</v>
      </c>
    </row>
    <row r="18" ht="15" spans="1:13">
      <c r="A18" s="8" t="s">
        <v>55</v>
      </c>
      <c r="B18" s="8"/>
    </row>
    <row r="19" ht="15" spans="1:13">
      <c r="A19" s="21" t="s">
        <v>1</v>
      </c>
      <c r="B19" s="21" t="s">
        <v>2</v>
      </c>
      <c r="C19" s="22" t="s">
        <v>3</v>
      </c>
      <c r="D19" s="22" t="s">
        <v>4</v>
      </c>
      <c r="E19" s="21" t="s">
        <v>5</v>
      </c>
      <c r="F19" s="21" t="s">
        <v>6</v>
      </c>
      <c r="G19" s="21" t="s">
        <v>7</v>
      </c>
      <c r="H19" s="21" t="s">
        <v>8</v>
      </c>
      <c r="I19" s="21" t="s">
        <v>9</v>
      </c>
      <c r="J19" s="21" t="s">
        <v>10</v>
      </c>
      <c r="K19" s="21" t="s">
        <v>11</v>
      </c>
      <c r="L19" s="21" t="s">
        <v>12</v>
      </c>
      <c r="M19" s="21" t="s">
        <v>56</v>
      </c>
    </row>
    <row r="20" ht="27" customHeight="1" spans="1:13">
      <c r="A20" s="5">
        <v>1</v>
      </c>
      <c r="B20" s="6" t="s">
        <v>57</v>
      </c>
      <c r="C20" s="6" t="s">
        <v>58</v>
      </c>
      <c r="D20" s="6" t="s">
        <v>59</v>
      </c>
      <c r="E20" s="5">
        <v>1</v>
      </c>
      <c r="F20" s="5">
        <v>2</v>
      </c>
      <c r="G20" s="5">
        <v>1</v>
      </c>
      <c r="H20" s="5">
        <v>3</v>
      </c>
      <c r="I20" s="5">
        <v>1</v>
      </c>
      <c r="J20" s="5">
        <v>1</v>
      </c>
      <c r="K20" s="5">
        <v>1</v>
      </c>
      <c r="L20" s="5">
        <f>SUM(E20:K20)</f>
        <v>10</v>
      </c>
      <c r="M20" s="5">
        <f>L20/7</f>
        <v>1.42857142857143</v>
      </c>
    </row>
    <row r="21" ht="30" customHeight="1" spans="1:13">
      <c r="A21" s="5">
        <v>2</v>
      </c>
      <c r="B21" s="6" t="s">
        <v>60</v>
      </c>
      <c r="C21" s="6" t="s">
        <v>61</v>
      </c>
      <c r="D21" s="6" t="s">
        <v>62</v>
      </c>
      <c r="E21" s="5">
        <v>1</v>
      </c>
      <c r="F21" s="5">
        <v>3</v>
      </c>
      <c r="G21" s="5">
        <v>1</v>
      </c>
      <c r="H21" s="5">
        <v>3</v>
      </c>
      <c r="I21" s="5">
        <v>1</v>
      </c>
      <c r="J21" s="5">
        <v>1</v>
      </c>
      <c r="K21" s="5">
        <v>1</v>
      </c>
      <c r="L21" s="5">
        <f t="shared" ref="L21:L29" si="4">SUM(E21:K21)</f>
        <v>11</v>
      </c>
      <c r="M21" s="5">
        <f t="shared" ref="M21:M29" si="5">L21/7</f>
        <v>1.57142857142857</v>
      </c>
    </row>
    <row r="22" ht="18" customHeight="1" spans="1:13">
      <c r="A22" s="5">
        <v>3</v>
      </c>
      <c r="B22" s="6" t="s">
        <v>63</v>
      </c>
      <c r="C22" s="6" t="s">
        <v>64</v>
      </c>
      <c r="D22" s="6" t="s">
        <v>65</v>
      </c>
      <c r="E22" s="5">
        <v>1</v>
      </c>
      <c r="F22" s="5">
        <v>3</v>
      </c>
      <c r="G22" s="5">
        <v>1</v>
      </c>
      <c r="H22" s="5">
        <v>4</v>
      </c>
      <c r="I22" s="5">
        <v>1</v>
      </c>
      <c r="J22" s="5">
        <v>1</v>
      </c>
      <c r="K22" s="5">
        <v>1</v>
      </c>
      <c r="L22" s="5">
        <f t="shared" si="4"/>
        <v>12</v>
      </c>
      <c r="M22" s="5">
        <f t="shared" si="5"/>
        <v>1.71428571428571</v>
      </c>
    </row>
    <row r="23" ht="18" customHeight="1" spans="1:13">
      <c r="A23" s="5">
        <v>4</v>
      </c>
      <c r="B23" s="6" t="s">
        <v>66</v>
      </c>
      <c r="C23" s="6" t="s">
        <v>67</v>
      </c>
      <c r="D23" s="6" t="s">
        <v>68</v>
      </c>
      <c r="E23" s="5">
        <v>10</v>
      </c>
      <c r="F23" s="5">
        <v>4</v>
      </c>
      <c r="G23" s="5">
        <v>1</v>
      </c>
      <c r="H23" s="5">
        <v>3</v>
      </c>
      <c r="I23" s="5">
        <v>1</v>
      </c>
      <c r="J23" s="5">
        <v>1</v>
      </c>
      <c r="K23" s="5">
        <v>1</v>
      </c>
      <c r="L23" s="5">
        <f t="shared" si="4"/>
        <v>21</v>
      </c>
      <c r="M23" s="5">
        <f t="shared" si="5"/>
        <v>3</v>
      </c>
    </row>
    <row r="24" ht="28" customHeight="1" spans="1:13">
      <c r="A24" s="5">
        <v>5</v>
      </c>
      <c r="B24" s="6" t="s">
        <v>69</v>
      </c>
      <c r="C24" s="6" t="s">
        <v>64</v>
      </c>
      <c r="D24" s="6" t="s">
        <v>70</v>
      </c>
      <c r="E24" s="5">
        <v>1</v>
      </c>
      <c r="F24" s="5">
        <v>3</v>
      </c>
      <c r="G24" s="5">
        <v>1</v>
      </c>
      <c r="H24" s="5">
        <v>4</v>
      </c>
      <c r="I24" s="5">
        <v>1</v>
      </c>
      <c r="J24" s="5">
        <v>2</v>
      </c>
      <c r="K24" s="5">
        <v>1</v>
      </c>
      <c r="L24" s="5">
        <f t="shared" si="4"/>
        <v>13</v>
      </c>
      <c r="M24" s="5">
        <f t="shared" si="5"/>
        <v>1.85714285714286</v>
      </c>
    </row>
    <row r="25" ht="21" customHeight="1" spans="1:13">
      <c r="A25" s="5">
        <v>6</v>
      </c>
      <c r="B25" s="6" t="s">
        <v>71</v>
      </c>
      <c r="C25" s="6" t="s">
        <v>72</v>
      </c>
      <c r="D25" s="6" t="s">
        <v>73</v>
      </c>
      <c r="E25" s="5">
        <v>1</v>
      </c>
      <c r="F25" s="5">
        <v>3</v>
      </c>
      <c r="G25" s="5">
        <v>1</v>
      </c>
      <c r="H25" s="5">
        <v>2</v>
      </c>
      <c r="I25" s="5">
        <v>1</v>
      </c>
      <c r="J25" s="5">
        <v>2</v>
      </c>
      <c r="K25" s="5">
        <v>1</v>
      </c>
      <c r="L25" s="5">
        <f t="shared" si="4"/>
        <v>11</v>
      </c>
      <c r="M25" s="5">
        <f t="shared" si="5"/>
        <v>1.57142857142857</v>
      </c>
    </row>
    <row r="26" ht="18" customHeight="1" spans="1:13">
      <c r="A26" s="5">
        <v>7</v>
      </c>
      <c r="B26" s="6" t="s">
        <v>74</v>
      </c>
      <c r="C26" s="6" t="s">
        <v>58</v>
      </c>
      <c r="D26" s="6" t="s">
        <v>75</v>
      </c>
      <c r="E26" s="5">
        <v>1</v>
      </c>
      <c r="F26" s="5">
        <v>2</v>
      </c>
      <c r="G26" s="5">
        <v>1</v>
      </c>
      <c r="H26" s="5">
        <v>2</v>
      </c>
      <c r="I26" s="5">
        <v>0</v>
      </c>
      <c r="J26" s="5">
        <v>2</v>
      </c>
      <c r="K26" s="5">
        <v>1</v>
      </c>
      <c r="L26" s="5">
        <f t="shared" si="4"/>
        <v>9</v>
      </c>
      <c r="M26" s="5">
        <f t="shared" si="5"/>
        <v>1.28571428571429</v>
      </c>
    </row>
    <row r="27" ht="18" customHeight="1" spans="1:13">
      <c r="A27" s="5">
        <v>8</v>
      </c>
      <c r="B27" s="6" t="s">
        <v>76</v>
      </c>
      <c r="C27" s="6" t="s">
        <v>77</v>
      </c>
      <c r="D27" s="6" t="s">
        <v>78</v>
      </c>
      <c r="E27" s="5">
        <v>1</v>
      </c>
      <c r="F27" s="5">
        <v>3</v>
      </c>
      <c r="G27" s="5">
        <v>1</v>
      </c>
      <c r="H27" s="5">
        <v>4</v>
      </c>
      <c r="I27" s="5">
        <v>7</v>
      </c>
      <c r="J27" s="5">
        <v>1</v>
      </c>
      <c r="K27" s="5">
        <v>1</v>
      </c>
      <c r="L27" s="5">
        <f t="shared" si="4"/>
        <v>18</v>
      </c>
      <c r="M27" s="5">
        <f t="shared" si="5"/>
        <v>2.57142857142857</v>
      </c>
    </row>
    <row r="28" ht="16.5" customHeight="1" spans="1:13">
      <c r="A28" s="7" t="s">
        <v>53</v>
      </c>
      <c r="B28" s="7"/>
      <c r="C28" s="7"/>
      <c r="D28" s="7"/>
      <c r="E28" s="5">
        <f>SUM(E20:E27)</f>
        <v>17</v>
      </c>
      <c r="F28" s="5">
        <f t="shared" ref="F28:K28" si="6">SUM(F20:F27)</f>
        <v>23</v>
      </c>
      <c r="G28" s="5">
        <f t="shared" si="6"/>
        <v>8</v>
      </c>
      <c r="H28" s="5">
        <f t="shared" si="6"/>
        <v>25</v>
      </c>
      <c r="I28" s="5">
        <f t="shared" si="6"/>
        <v>13</v>
      </c>
      <c r="J28" s="5">
        <f t="shared" si="6"/>
        <v>11</v>
      </c>
      <c r="K28" s="5">
        <f t="shared" si="6"/>
        <v>8</v>
      </c>
      <c r="L28" s="5">
        <f t="shared" si="4"/>
        <v>105</v>
      </c>
      <c r="M28" s="5">
        <f t="shared" si="5"/>
        <v>15</v>
      </c>
    </row>
    <row r="29" ht="15" spans="1:13">
      <c r="A29" s="7" t="s">
        <v>54</v>
      </c>
      <c r="B29" s="7"/>
      <c r="C29" s="7"/>
      <c r="D29" s="7"/>
      <c r="E29" s="5">
        <f>E28/8</f>
        <v>2.125</v>
      </c>
      <c r="F29" s="5">
        <f t="shared" ref="F29:K29" si="7">F28/8</f>
        <v>2.875</v>
      </c>
      <c r="G29" s="5">
        <f t="shared" si="7"/>
        <v>1</v>
      </c>
      <c r="H29" s="5">
        <f t="shared" si="7"/>
        <v>3.125</v>
      </c>
      <c r="I29" s="5">
        <f t="shared" si="7"/>
        <v>1.625</v>
      </c>
      <c r="J29" s="5">
        <f t="shared" si="7"/>
        <v>1.375</v>
      </c>
      <c r="K29" s="5">
        <f t="shared" si="7"/>
        <v>1</v>
      </c>
      <c r="L29" s="5">
        <f t="shared" si="4"/>
        <v>13.125</v>
      </c>
      <c r="M29" s="5">
        <f t="shared" si="5"/>
        <v>1.875</v>
      </c>
    </row>
    <row r="30" spans="1:13">
      <c r="A30" s="9" t="s">
        <v>79</v>
      </c>
    </row>
    <row r="31" ht="15" spans="1:13">
      <c r="A31" s="8" t="s">
        <v>80</v>
      </c>
      <c r="B31" s="8"/>
    </row>
    <row r="32" ht="15" spans="1:13">
      <c r="A32" s="21" t="s">
        <v>1</v>
      </c>
      <c r="B32" s="21" t="s">
        <v>2</v>
      </c>
      <c r="C32" s="22" t="s">
        <v>3</v>
      </c>
      <c r="D32" s="22" t="s">
        <v>4</v>
      </c>
      <c r="E32" s="21" t="s">
        <v>5</v>
      </c>
      <c r="F32" s="21" t="s">
        <v>6</v>
      </c>
      <c r="G32" s="21" t="s">
        <v>7</v>
      </c>
      <c r="H32" s="21" t="s">
        <v>8</v>
      </c>
      <c r="I32" s="21" t="s">
        <v>9</v>
      </c>
      <c r="J32" s="21" t="s">
        <v>10</v>
      </c>
      <c r="K32" s="21" t="s">
        <v>11</v>
      </c>
      <c r="L32" s="21" t="s">
        <v>12</v>
      </c>
      <c r="M32" s="21" t="s">
        <v>56</v>
      </c>
    </row>
    <row r="33" ht="34" customHeight="1" spans="1:13">
      <c r="A33" s="5">
        <v>1</v>
      </c>
      <c r="B33" s="6" t="s">
        <v>81</v>
      </c>
      <c r="C33" s="6" t="s">
        <v>82</v>
      </c>
      <c r="D33" s="6" t="s">
        <v>83</v>
      </c>
      <c r="E33" s="5">
        <v>3</v>
      </c>
      <c r="F33" s="5">
        <v>4</v>
      </c>
      <c r="G33" s="5">
        <v>1</v>
      </c>
      <c r="H33" s="5">
        <v>2</v>
      </c>
      <c r="I33" s="5">
        <v>2</v>
      </c>
      <c r="J33" s="5">
        <v>3</v>
      </c>
      <c r="K33" s="5">
        <v>5</v>
      </c>
      <c r="L33" s="5">
        <f>SUM(E33:K33)</f>
        <v>20</v>
      </c>
      <c r="M33" s="5">
        <f>L33/7</f>
        <v>2.85714285714286</v>
      </c>
    </row>
    <row r="34" ht="34" customHeight="1" spans="1:13">
      <c r="A34" s="5">
        <v>2</v>
      </c>
      <c r="B34" s="6" t="s">
        <v>84</v>
      </c>
      <c r="C34" s="6" t="s">
        <v>85</v>
      </c>
      <c r="D34" s="6" t="s">
        <v>86</v>
      </c>
      <c r="E34" s="5">
        <v>1</v>
      </c>
      <c r="F34" s="5">
        <v>3</v>
      </c>
      <c r="G34" s="5">
        <v>1</v>
      </c>
      <c r="H34" s="5">
        <v>2</v>
      </c>
      <c r="I34" s="5">
        <v>1</v>
      </c>
      <c r="J34" s="5">
        <v>1</v>
      </c>
      <c r="K34" s="5">
        <v>1</v>
      </c>
      <c r="L34" s="5">
        <f t="shared" ref="L34:L44" si="8">SUM(E34:K34)</f>
        <v>10</v>
      </c>
      <c r="M34" s="5">
        <f t="shared" ref="M34:M44" si="9">L34/7</f>
        <v>1.42857142857143</v>
      </c>
    </row>
    <row r="35" ht="34" customHeight="1" spans="1:13">
      <c r="A35" s="5">
        <v>3</v>
      </c>
      <c r="B35" s="6" t="s">
        <v>87</v>
      </c>
      <c r="C35" s="6" t="s">
        <v>88</v>
      </c>
      <c r="D35" s="6" t="s">
        <v>89</v>
      </c>
      <c r="E35" s="5">
        <v>1</v>
      </c>
      <c r="F35" s="5">
        <v>4</v>
      </c>
      <c r="G35" s="5">
        <v>1</v>
      </c>
      <c r="H35" s="5">
        <v>3</v>
      </c>
      <c r="I35" s="5">
        <v>3</v>
      </c>
      <c r="J35" s="5">
        <v>1</v>
      </c>
      <c r="K35" s="5">
        <v>2</v>
      </c>
      <c r="L35" s="5">
        <f t="shared" si="8"/>
        <v>15</v>
      </c>
      <c r="M35" s="5">
        <f t="shared" si="9"/>
        <v>2.14285714285714</v>
      </c>
    </row>
    <row r="36" ht="34" customHeight="1" spans="1:13">
      <c r="A36" s="5">
        <v>4</v>
      </c>
      <c r="B36" s="6" t="s">
        <v>90</v>
      </c>
      <c r="C36" s="6" t="s">
        <v>91</v>
      </c>
      <c r="D36" s="6" t="s">
        <v>92</v>
      </c>
      <c r="E36" s="5">
        <v>3</v>
      </c>
      <c r="F36" s="5">
        <v>4</v>
      </c>
      <c r="G36" s="5">
        <v>1</v>
      </c>
      <c r="H36" s="5">
        <v>4</v>
      </c>
      <c r="I36" s="5">
        <v>2</v>
      </c>
      <c r="J36" s="5">
        <v>2</v>
      </c>
      <c r="K36" s="5">
        <v>1</v>
      </c>
      <c r="L36" s="5">
        <f t="shared" si="8"/>
        <v>17</v>
      </c>
      <c r="M36" s="5">
        <f t="shared" si="9"/>
        <v>2.42857142857143</v>
      </c>
    </row>
    <row r="37" ht="34" customHeight="1" spans="1:13">
      <c r="A37" s="5">
        <v>5</v>
      </c>
      <c r="B37" s="6" t="s">
        <v>93</v>
      </c>
      <c r="C37" s="6" t="s">
        <v>94</v>
      </c>
      <c r="D37" s="6" t="s">
        <v>95</v>
      </c>
      <c r="E37" s="5">
        <v>2</v>
      </c>
      <c r="F37" s="5">
        <v>4</v>
      </c>
      <c r="G37" s="5">
        <v>2</v>
      </c>
      <c r="H37" s="5">
        <v>5</v>
      </c>
      <c r="I37" s="5">
        <v>9</v>
      </c>
      <c r="J37" s="5">
        <v>8</v>
      </c>
      <c r="K37" s="5">
        <v>1</v>
      </c>
      <c r="L37" s="5">
        <f t="shared" si="8"/>
        <v>31</v>
      </c>
      <c r="M37" s="5">
        <f t="shared" si="9"/>
        <v>4.42857142857143</v>
      </c>
    </row>
    <row r="38" ht="34" customHeight="1" spans="1:13">
      <c r="A38" s="5">
        <v>6</v>
      </c>
      <c r="B38" s="6" t="s">
        <v>96</v>
      </c>
      <c r="C38" s="6" t="s">
        <v>97</v>
      </c>
      <c r="D38" s="6" t="s">
        <v>98</v>
      </c>
      <c r="E38" s="5">
        <v>10</v>
      </c>
      <c r="F38" s="5">
        <v>3</v>
      </c>
      <c r="G38" s="5">
        <v>1</v>
      </c>
      <c r="H38" s="5">
        <v>2</v>
      </c>
      <c r="I38" s="5">
        <v>2</v>
      </c>
      <c r="J38" s="5">
        <v>2</v>
      </c>
      <c r="K38" s="5">
        <v>3</v>
      </c>
      <c r="L38" s="5">
        <f t="shared" si="8"/>
        <v>23</v>
      </c>
      <c r="M38" s="5">
        <f t="shared" si="9"/>
        <v>3.28571428571429</v>
      </c>
    </row>
    <row r="39" ht="34" customHeight="1" spans="1:13">
      <c r="A39" s="5">
        <v>7</v>
      </c>
      <c r="B39" s="6" t="s">
        <v>99</v>
      </c>
      <c r="C39" s="6" t="s">
        <v>100</v>
      </c>
      <c r="D39" s="6" t="s">
        <v>101</v>
      </c>
      <c r="E39" s="5">
        <v>6</v>
      </c>
      <c r="F39" s="5">
        <v>4</v>
      </c>
      <c r="G39" s="5">
        <v>1</v>
      </c>
      <c r="H39" s="5">
        <v>2</v>
      </c>
      <c r="I39" s="5">
        <v>6</v>
      </c>
      <c r="J39" s="5">
        <v>6</v>
      </c>
      <c r="K39" s="5">
        <v>6</v>
      </c>
      <c r="L39" s="5">
        <f t="shared" si="8"/>
        <v>31</v>
      </c>
      <c r="M39" s="5">
        <f t="shared" si="9"/>
        <v>4.42857142857143</v>
      </c>
    </row>
    <row r="40" ht="34" customHeight="1" spans="1:13">
      <c r="A40" s="5">
        <v>8</v>
      </c>
      <c r="B40" s="6" t="s">
        <v>102</v>
      </c>
      <c r="C40" s="6" t="s">
        <v>103</v>
      </c>
      <c r="D40" s="6" t="s">
        <v>104</v>
      </c>
      <c r="E40" s="5">
        <v>5</v>
      </c>
      <c r="F40" s="5">
        <v>4</v>
      </c>
      <c r="G40" s="5">
        <v>1</v>
      </c>
      <c r="H40" s="5">
        <v>4</v>
      </c>
      <c r="I40" s="5">
        <v>1</v>
      </c>
      <c r="J40" s="5">
        <v>1</v>
      </c>
      <c r="K40" s="5">
        <v>1</v>
      </c>
      <c r="L40" s="5">
        <f t="shared" si="8"/>
        <v>17</v>
      </c>
      <c r="M40" s="5">
        <f t="shared" si="9"/>
        <v>2.42857142857143</v>
      </c>
    </row>
    <row r="41" ht="34" customHeight="1" spans="1:13">
      <c r="A41" s="5">
        <v>9</v>
      </c>
      <c r="B41" s="6" t="s">
        <v>105</v>
      </c>
      <c r="C41" s="6" t="s">
        <v>106</v>
      </c>
      <c r="D41" s="6" t="s">
        <v>107</v>
      </c>
      <c r="E41" s="5">
        <v>1</v>
      </c>
      <c r="F41" s="5">
        <v>3</v>
      </c>
      <c r="G41" s="5">
        <v>2</v>
      </c>
      <c r="H41" s="5">
        <v>2</v>
      </c>
      <c r="I41" s="5">
        <v>1</v>
      </c>
      <c r="J41" s="5">
        <v>1</v>
      </c>
      <c r="K41" s="5">
        <v>1</v>
      </c>
      <c r="L41" s="5">
        <f t="shared" si="8"/>
        <v>11</v>
      </c>
      <c r="M41" s="5">
        <f t="shared" si="9"/>
        <v>1.57142857142857</v>
      </c>
    </row>
    <row r="42" ht="34" customHeight="1" spans="1:13">
      <c r="A42" s="5">
        <v>10</v>
      </c>
      <c r="B42" s="6" t="s">
        <v>99</v>
      </c>
      <c r="C42" s="6" t="s">
        <v>100</v>
      </c>
      <c r="D42" s="6" t="s">
        <v>101</v>
      </c>
      <c r="E42" s="5">
        <v>1</v>
      </c>
      <c r="F42" s="5">
        <v>3</v>
      </c>
      <c r="G42" s="5">
        <v>1</v>
      </c>
      <c r="H42" s="5">
        <v>1</v>
      </c>
      <c r="I42" s="5">
        <v>2</v>
      </c>
      <c r="J42" s="5">
        <v>1</v>
      </c>
      <c r="K42" s="5">
        <v>1</v>
      </c>
      <c r="L42" s="5">
        <f t="shared" si="8"/>
        <v>10</v>
      </c>
      <c r="M42" s="5">
        <f t="shared" si="9"/>
        <v>1.42857142857143</v>
      </c>
    </row>
    <row r="43" ht="16.5" customHeight="1" spans="1:13">
      <c r="A43" s="7" t="s">
        <v>53</v>
      </c>
      <c r="B43" s="7"/>
      <c r="C43" s="7"/>
      <c r="D43" s="7"/>
      <c r="E43" s="5">
        <f>SUM(E33:E42)</f>
        <v>33</v>
      </c>
      <c r="F43" s="5">
        <f t="shared" ref="F43:K43" si="10">SUM(F33:F42)</f>
        <v>36</v>
      </c>
      <c r="G43" s="5">
        <f t="shared" si="10"/>
        <v>12</v>
      </c>
      <c r="H43" s="5">
        <f t="shared" si="10"/>
        <v>27</v>
      </c>
      <c r="I43" s="5">
        <f t="shared" si="10"/>
        <v>29</v>
      </c>
      <c r="J43" s="5">
        <f t="shared" si="10"/>
        <v>26</v>
      </c>
      <c r="K43" s="5">
        <f t="shared" si="10"/>
        <v>22</v>
      </c>
      <c r="L43" s="5">
        <f t="shared" si="8"/>
        <v>185</v>
      </c>
      <c r="M43" s="5">
        <f t="shared" si="9"/>
        <v>26.4285714285714</v>
      </c>
    </row>
    <row r="44" ht="16.5" customHeight="1" spans="1:13">
      <c r="A44" s="7" t="s">
        <v>54</v>
      </c>
      <c r="B44" s="7"/>
      <c r="C44" s="7"/>
      <c r="D44" s="7"/>
      <c r="E44" s="5">
        <f>E43/10</f>
        <v>3.3</v>
      </c>
      <c r="F44" s="5">
        <f t="shared" ref="F44:K44" si="11">F43/10</f>
        <v>3.6</v>
      </c>
      <c r="G44" s="5">
        <f t="shared" si="11"/>
        <v>1.2</v>
      </c>
      <c r="H44" s="5">
        <f t="shared" si="11"/>
        <v>2.7</v>
      </c>
      <c r="I44" s="5">
        <f t="shared" si="11"/>
        <v>2.9</v>
      </c>
      <c r="J44" s="5">
        <f t="shared" si="11"/>
        <v>2.6</v>
      </c>
      <c r="K44" s="5">
        <f t="shared" si="11"/>
        <v>2.2</v>
      </c>
      <c r="L44" s="5">
        <f t="shared" si="8"/>
        <v>18.5</v>
      </c>
      <c r="M44" s="5">
        <f t="shared" si="9"/>
        <v>2.64285714285714</v>
      </c>
    </row>
    <row r="45" ht="15" spans="1:13">
      <c r="A45" s="7" t="s">
        <v>108</v>
      </c>
      <c r="B45" s="10" t="s">
        <v>109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ht="15" spans="1:13">
      <c r="A46" s="8" t="s">
        <v>110</v>
      </c>
      <c r="B46" s="8"/>
    </row>
    <row r="47" ht="15" spans="1:13">
      <c r="A47" s="21" t="s">
        <v>1</v>
      </c>
      <c r="B47" s="21" t="s">
        <v>2</v>
      </c>
      <c r="C47" s="22" t="s">
        <v>3</v>
      </c>
      <c r="D47" s="22" t="s">
        <v>4</v>
      </c>
      <c r="E47" s="21" t="s">
        <v>5</v>
      </c>
      <c r="F47" s="21" t="s">
        <v>6</v>
      </c>
      <c r="G47" s="21" t="s">
        <v>7</v>
      </c>
      <c r="H47" s="21" t="s">
        <v>8</v>
      </c>
      <c r="I47" s="21" t="s">
        <v>9</v>
      </c>
      <c r="J47" s="21" t="s">
        <v>10</v>
      </c>
      <c r="K47" s="21" t="s">
        <v>11</v>
      </c>
      <c r="L47" s="21" t="s">
        <v>12</v>
      </c>
      <c r="M47" s="21" t="s">
        <v>56</v>
      </c>
    </row>
    <row r="48" ht="43" customHeight="1" spans="1:13">
      <c r="A48" s="5">
        <v>1</v>
      </c>
      <c r="B48" s="6" t="s">
        <v>111</v>
      </c>
      <c r="C48" s="6" t="s">
        <v>112</v>
      </c>
      <c r="D48" s="6" t="s">
        <v>113</v>
      </c>
      <c r="E48" s="5">
        <v>1</v>
      </c>
      <c r="F48" s="5">
        <v>4</v>
      </c>
      <c r="G48" s="5">
        <v>9</v>
      </c>
      <c r="H48" s="5">
        <v>2</v>
      </c>
      <c r="I48" s="5">
        <v>2</v>
      </c>
      <c r="J48" s="5">
        <v>2</v>
      </c>
      <c r="K48" s="5">
        <v>1</v>
      </c>
      <c r="L48" s="5">
        <f>SUM(E48:K48)</f>
        <v>21</v>
      </c>
      <c r="M48" s="5">
        <f>L48/7</f>
        <v>3</v>
      </c>
    </row>
    <row r="49" ht="43" customHeight="1" spans="1:13">
      <c r="A49" s="5">
        <v>2</v>
      </c>
      <c r="B49" s="6" t="s">
        <v>114</v>
      </c>
      <c r="C49" s="6" t="s">
        <v>115</v>
      </c>
      <c r="D49" s="6" t="s">
        <v>116</v>
      </c>
      <c r="E49" s="5">
        <v>1</v>
      </c>
      <c r="F49" s="5">
        <v>3</v>
      </c>
      <c r="G49" s="5">
        <v>1</v>
      </c>
      <c r="H49" s="5">
        <v>2</v>
      </c>
      <c r="I49" s="5">
        <v>1</v>
      </c>
      <c r="J49" s="5">
        <v>1</v>
      </c>
      <c r="K49" s="5">
        <v>10</v>
      </c>
      <c r="L49" s="5">
        <f t="shared" ref="L49:L57" si="12">SUM(E49:K49)</f>
        <v>19</v>
      </c>
      <c r="M49" s="5">
        <f t="shared" ref="M49:M57" si="13">L49/7</f>
        <v>2.71428571428571</v>
      </c>
    </row>
    <row r="50" ht="43" customHeight="1" spans="1:13">
      <c r="A50" s="5">
        <v>3</v>
      </c>
      <c r="B50" s="6" t="s">
        <v>117</v>
      </c>
      <c r="C50" s="6" t="s">
        <v>118</v>
      </c>
      <c r="D50" s="6" t="s">
        <v>119</v>
      </c>
      <c r="E50" s="5">
        <v>1</v>
      </c>
      <c r="F50" s="5">
        <v>3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f t="shared" si="12"/>
        <v>9</v>
      </c>
      <c r="M50" s="5">
        <f t="shared" si="13"/>
        <v>1.28571428571429</v>
      </c>
    </row>
    <row r="51" ht="43" customHeight="1" spans="1:13">
      <c r="A51" s="5">
        <v>4</v>
      </c>
      <c r="B51" s="6" t="s">
        <v>120</v>
      </c>
      <c r="C51" s="6" t="s">
        <v>121</v>
      </c>
      <c r="D51" s="6" t="s">
        <v>122</v>
      </c>
      <c r="E51" s="5">
        <v>1</v>
      </c>
      <c r="F51" s="5">
        <v>3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f t="shared" si="12"/>
        <v>9</v>
      </c>
      <c r="M51" s="5">
        <f t="shared" si="13"/>
        <v>1.28571428571429</v>
      </c>
    </row>
    <row r="52" ht="43" customHeight="1" spans="1:13">
      <c r="A52" s="5">
        <v>5</v>
      </c>
      <c r="B52" s="6" t="s">
        <v>123</v>
      </c>
      <c r="C52" s="6" t="s">
        <v>124</v>
      </c>
      <c r="D52" s="6" t="s">
        <v>125</v>
      </c>
      <c r="E52" s="5">
        <v>1</v>
      </c>
      <c r="F52" s="5">
        <v>4</v>
      </c>
      <c r="G52" s="5">
        <v>1</v>
      </c>
      <c r="H52" s="5">
        <v>4</v>
      </c>
      <c r="I52" s="5">
        <v>1</v>
      </c>
      <c r="J52" s="5">
        <v>1</v>
      </c>
      <c r="K52" s="5">
        <v>1</v>
      </c>
      <c r="L52" s="5">
        <f t="shared" si="12"/>
        <v>13</v>
      </c>
      <c r="M52" s="5">
        <f t="shared" si="13"/>
        <v>1.85714285714286</v>
      </c>
    </row>
    <row r="53" ht="43" customHeight="1" spans="1:13">
      <c r="A53" s="5">
        <v>6</v>
      </c>
      <c r="B53" s="6" t="s">
        <v>126</v>
      </c>
      <c r="C53" s="6" t="s">
        <v>127</v>
      </c>
      <c r="D53" s="6" t="s">
        <v>128</v>
      </c>
      <c r="E53" s="5">
        <v>1</v>
      </c>
      <c r="F53" s="5">
        <v>4</v>
      </c>
      <c r="G53" s="5">
        <v>1</v>
      </c>
      <c r="H53" s="5">
        <v>2</v>
      </c>
      <c r="I53" s="5">
        <v>1</v>
      </c>
      <c r="J53" s="5">
        <v>0</v>
      </c>
      <c r="K53" s="5">
        <v>1</v>
      </c>
      <c r="L53" s="5">
        <f t="shared" si="12"/>
        <v>10</v>
      </c>
      <c r="M53" s="5">
        <f t="shared" si="13"/>
        <v>1.42857142857143</v>
      </c>
    </row>
    <row r="54" ht="43" customHeight="1" spans="1:13">
      <c r="A54" s="5">
        <v>7</v>
      </c>
      <c r="B54" s="6" t="s">
        <v>129</v>
      </c>
      <c r="C54" s="6" t="s">
        <v>130</v>
      </c>
      <c r="D54" s="6" t="s">
        <v>131</v>
      </c>
      <c r="E54" s="5">
        <v>1</v>
      </c>
      <c r="F54" s="5">
        <v>3</v>
      </c>
      <c r="G54" s="5">
        <v>1</v>
      </c>
      <c r="H54" s="5">
        <v>3</v>
      </c>
      <c r="I54" s="5">
        <v>1</v>
      </c>
      <c r="J54" s="5">
        <v>1</v>
      </c>
      <c r="K54" s="5">
        <v>1</v>
      </c>
      <c r="L54" s="5">
        <f t="shared" si="12"/>
        <v>11</v>
      </c>
      <c r="M54" s="5">
        <f t="shared" si="13"/>
        <v>1.57142857142857</v>
      </c>
    </row>
    <row r="55" ht="43" customHeight="1" spans="1:13">
      <c r="A55" s="5">
        <v>8</v>
      </c>
      <c r="B55" s="6" t="s">
        <v>132</v>
      </c>
      <c r="C55" s="6" t="s">
        <v>133</v>
      </c>
      <c r="D55" s="6" t="s">
        <v>134</v>
      </c>
      <c r="E55" s="5">
        <v>1</v>
      </c>
      <c r="F55" s="5">
        <v>3</v>
      </c>
      <c r="G55" s="5">
        <v>1</v>
      </c>
      <c r="H55" s="5">
        <v>5</v>
      </c>
      <c r="I55" s="5">
        <v>1</v>
      </c>
      <c r="J55" s="5">
        <v>0</v>
      </c>
      <c r="K55" s="5">
        <v>1</v>
      </c>
      <c r="L55" s="5">
        <f t="shared" si="12"/>
        <v>12</v>
      </c>
      <c r="M55" s="5">
        <f t="shared" si="13"/>
        <v>1.71428571428571</v>
      </c>
    </row>
    <row r="56" ht="16.5" customHeight="1" spans="1:13">
      <c r="A56" s="7" t="s">
        <v>53</v>
      </c>
      <c r="B56" s="7"/>
      <c r="C56" s="7"/>
      <c r="D56" s="7"/>
      <c r="E56" s="5">
        <f>SUM(E48:E55)</f>
        <v>8</v>
      </c>
      <c r="F56" s="5">
        <f t="shared" ref="F56:K56" si="14">SUM(F48:F55)</f>
        <v>27</v>
      </c>
      <c r="G56" s="5">
        <f t="shared" si="14"/>
        <v>16</v>
      </c>
      <c r="H56" s="5">
        <f t="shared" si="14"/>
        <v>20</v>
      </c>
      <c r="I56" s="5">
        <f t="shared" si="14"/>
        <v>9</v>
      </c>
      <c r="J56" s="5">
        <f t="shared" si="14"/>
        <v>7</v>
      </c>
      <c r="K56" s="5">
        <f t="shared" si="14"/>
        <v>17</v>
      </c>
      <c r="L56" s="5">
        <f t="shared" si="12"/>
        <v>104</v>
      </c>
      <c r="M56" s="5">
        <f t="shared" si="13"/>
        <v>14.8571428571429</v>
      </c>
    </row>
    <row r="57" ht="15" spans="1:13">
      <c r="A57" s="7" t="s">
        <v>54</v>
      </c>
      <c r="B57" s="7"/>
      <c r="C57" s="7"/>
      <c r="D57" s="7"/>
      <c r="E57" s="5">
        <f>E56/8</f>
        <v>1</v>
      </c>
      <c r="F57" s="5">
        <f t="shared" ref="F57:K57" si="15">F56/8</f>
        <v>3.375</v>
      </c>
      <c r="G57" s="5">
        <f t="shared" si="15"/>
        <v>2</v>
      </c>
      <c r="H57" s="5">
        <f t="shared" si="15"/>
        <v>2.5</v>
      </c>
      <c r="I57" s="5">
        <f t="shared" si="15"/>
        <v>1.125</v>
      </c>
      <c r="J57" s="5">
        <f t="shared" si="15"/>
        <v>0.875</v>
      </c>
      <c r="K57" s="5">
        <f t="shared" si="15"/>
        <v>2.125</v>
      </c>
      <c r="L57" s="5">
        <f t="shared" si="12"/>
        <v>13</v>
      </c>
      <c r="M57" s="5">
        <f t="shared" si="13"/>
        <v>1.85714285714286</v>
      </c>
    </row>
    <row r="58" ht="15" spans="1:13">
      <c r="A58" s="8" t="s">
        <v>135</v>
      </c>
      <c r="B58" s="8"/>
    </row>
    <row r="59" ht="15" spans="1:13">
      <c r="A59" s="21" t="s">
        <v>1</v>
      </c>
      <c r="B59" s="21" t="s">
        <v>2</v>
      </c>
      <c r="C59" s="22" t="s">
        <v>3</v>
      </c>
      <c r="D59" s="22" t="s">
        <v>4</v>
      </c>
      <c r="E59" s="21" t="s">
        <v>5</v>
      </c>
      <c r="F59" s="21" t="s">
        <v>6</v>
      </c>
      <c r="G59" s="21" t="s">
        <v>7</v>
      </c>
      <c r="H59" s="21" t="s">
        <v>8</v>
      </c>
      <c r="I59" s="21" t="s">
        <v>9</v>
      </c>
      <c r="J59" s="21" t="s">
        <v>10</v>
      </c>
      <c r="K59" s="21" t="s">
        <v>11</v>
      </c>
      <c r="L59" s="21" t="s">
        <v>12</v>
      </c>
      <c r="M59" s="21" t="s">
        <v>56</v>
      </c>
    </row>
    <row r="60" ht="38" customHeight="1" spans="1:13">
      <c r="A60" s="5">
        <v>1</v>
      </c>
      <c r="B60" s="6" t="s">
        <v>136</v>
      </c>
      <c r="C60" s="6" t="s">
        <v>137</v>
      </c>
      <c r="D60" s="6" t="s">
        <v>138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/>
      <c r="M60" s="5"/>
    </row>
    <row r="61" ht="38" customHeight="1" spans="1:13">
      <c r="A61" s="5">
        <v>2</v>
      </c>
      <c r="B61" s="6" t="s">
        <v>139</v>
      </c>
      <c r="C61" s="6" t="s">
        <v>140</v>
      </c>
      <c r="D61" s="6" t="s">
        <v>141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/>
      <c r="M61" s="5"/>
    </row>
    <row r="62" ht="38" customHeight="1" spans="1:13">
      <c r="A62" s="5">
        <v>3</v>
      </c>
      <c r="B62" s="6" t="s">
        <v>142</v>
      </c>
      <c r="C62" s="6" t="s">
        <v>143</v>
      </c>
      <c r="D62" s="6" t="s">
        <v>144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/>
      <c r="M62" s="5"/>
    </row>
    <row r="63" ht="38" customHeight="1" spans="1:13">
      <c r="A63" s="5">
        <v>4</v>
      </c>
      <c r="B63" s="6" t="s">
        <v>145</v>
      </c>
      <c r="C63" s="6" t="s">
        <v>146</v>
      </c>
      <c r="D63" s="6" t="s">
        <v>147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/>
      <c r="M63" s="5"/>
    </row>
    <row r="64" ht="38" customHeight="1" spans="1:13">
      <c r="A64" s="5">
        <v>5</v>
      </c>
      <c r="B64" s="6" t="s">
        <v>148</v>
      </c>
      <c r="C64" s="6" t="s">
        <v>149</v>
      </c>
      <c r="D64" s="6" t="s">
        <v>150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/>
      <c r="M64" s="5"/>
    </row>
    <row r="65" ht="38" customHeight="1" spans="1:13">
      <c r="A65" s="5">
        <v>6</v>
      </c>
      <c r="B65" s="6" t="s">
        <v>151</v>
      </c>
      <c r="C65" s="6" t="s">
        <v>152</v>
      </c>
      <c r="D65" s="6" t="s">
        <v>153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/>
      <c r="M65" s="5"/>
    </row>
    <row r="66" ht="16.5" customHeight="1" spans="1:13">
      <c r="A66" s="7" t="s">
        <v>53</v>
      </c>
      <c r="B66" s="7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</row>
    <row r="67" ht="15" spans="1:13">
      <c r="A67" s="7" t="s">
        <v>54</v>
      </c>
      <c r="B67" s="7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</row>
    <row r="69" ht="22" customHeight="1" spans="1:13">
      <c r="A69" s="11" t="s">
        <v>154</v>
      </c>
      <c r="B69" s="11" t="s">
        <v>54</v>
      </c>
      <c r="C69" s="11" t="s">
        <v>108</v>
      </c>
      <c r="D69" s="12"/>
    </row>
    <row r="70" ht="31" customHeight="1" spans="1:13">
      <c r="A70" s="13" t="s">
        <v>155</v>
      </c>
      <c r="B70" s="13">
        <v>3.6</v>
      </c>
      <c r="C70" s="14" t="s">
        <v>156</v>
      </c>
      <c r="D70" s="14"/>
    </row>
    <row r="71" ht="24" customHeight="1" spans="1:13">
      <c r="A71" s="13" t="s">
        <v>157</v>
      </c>
      <c r="B71" s="13">
        <v>1.9</v>
      </c>
      <c r="C71" s="16" t="s">
        <v>158</v>
      </c>
      <c r="D71" s="16"/>
    </row>
    <row r="72" ht="29" customHeight="1" spans="1:13">
      <c r="A72" s="13" t="s">
        <v>159</v>
      </c>
      <c r="B72" s="13">
        <v>2.6</v>
      </c>
      <c r="C72" s="14" t="s">
        <v>160</v>
      </c>
      <c r="D72" s="14"/>
    </row>
    <row r="73" ht="24" customHeight="1" spans="1:13">
      <c r="A73" s="13" t="s">
        <v>161</v>
      </c>
      <c r="B73" s="13">
        <v>1.9</v>
      </c>
      <c r="C73" s="16" t="s">
        <v>162</v>
      </c>
      <c r="D73" s="16"/>
    </row>
    <row r="74" ht="24" customHeight="1" spans="1:13">
      <c r="A74" s="13" t="s">
        <v>163</v>
      </c>
      <c r="B74" s="13">
        <v>0</v>
      </c>
      <c r="C74" s="16" t="s">
        <v>164</v>
      </c>
      <c r="D74" s="16"/>
    </row>
    <row r="75" ht="24" customHeight="1" spans="1:13">
      <c r="A75" s="13" t="s">
        <v>165</v>
      </c>
      <c r="B75" s="13">
        <f>AVERAGE(B70:B74)</f>
        <v>2</v>
      </c>
      <c r="C75" s="16"/>
      <c r="D75" s="16"/>
    </row>
  </sheetData>
  <mergeCells count="23">
    <mergeCell ref="A1:B1"/>
    <mergeCell ref="A16:D16"/>
    <mergeCell ref="A17:D17"/>
    <mergeCell ref="A18:B18"/>
    <mergeCell ref="A28:D28"/>
    <mergeCell ref="A29:D29"/>
    <mergeCell ref="A31:B31"/>
    <mergeCell ref="A43:D43"/>
    <mergeCell ref="A44:D44"/>
    <mergeCell ref="B45:K45"/>
    <mergeCell ref="A46:B46"/>
    <mergeCell ref="A56:D56"/>
    <mergeCell ref="A57:D57"/>
    <mergeCell ref="A58:B58"/>
    <mergeCell ref="A66:D66"/>
    <mergeCell ref="A67:D67"/>
    <mergeCell ref="C69:D69"/>
    <mergeCell ref="C70:D70"/>
    <mergeCell ref="C71:D71"/>
    <mergeCell ref="C72:D72"/>
    <mergeCell ref="C73:D73"/>
    <mergeCell ref="C74:D74"/>
    <mergeCell ref="C75:D7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opLeftCell="A66" workbookViewId="0">
      <selection activeCell="G76" sqref="G76"/>
    </sheetView>
  </sheetViews>
  <sheetFormatPr defaultColWidth="9" defaultRowHeight="13.5"/>
  <cols>
    <col min="2" max="4" width="20.9115044247788" customWidth="1"/>
    <col min="5" max="13" width="11.1238938053097"/>
  </cols>
  <sheetData>
    <row r="1" ht="14.25" spans="1:13">
      <c r="A1" s="1" t="s">
        <v>166</v>
      </c>
      <c r="B1" s="17"/>
    </row>
    <row r="2" ht="15" spans="1:13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36" customHeight="1" spans="1:13">
      <c r="A3" s="5">
        <v>1</v>
      </c>
      <c r="B3" s="6" t="s">
        <v>14</v>
      </c>
      <c r="C3" s="6" t="s">
        <v>15</v>
      </c>
      <c r="D3" s="6" t="s">
        <v>16</v>
      </c>
      <c r="E3" s="5">
        <v>8</v>
      </c>
      <c r="F3" s="5">
        <v>5</v>
      </c>
      <c r="G3" s="5">
        <v>10</v>
      </c>
      <c r="H3" s="5">
        <v>8</v>
      </c>
      <c r="I3" s="5">
        <v>5</v>
      </c>
      <c r="J3" s="5">
        <v>6</v>
      </c>
      <c r="K3" s="5">
        <v>2</v>
      </c>
      <c r="L3" s="5">
        <f>SUM(E3:K3)</f>
        <v>44</v>
      </c>
      <c r="M3" s="5">
        <f>L3/7</f>
        <v>6.28571428571429</v>
      </c>
    </row>
    <row r="4" ht="36" customHeight="1" spans="1:13">
      <c r="A4" s="5">
        <v>2</v>
      </c>
      <c r="B4" s="6" t="s">
        <v>17</v>
      </c>
      <c r="C4" s="6" t="s">
        <v>18</v>
      </c>
      <c r="D4" s="6" t="s">
        <v>19</v>
      </c>
      <c r="E4" s="5">
        <v>5</v>
      </c>
      <c r="F4" s="5">
        <v>5</v>
      </c>
      <c r="G4" s="5">
        <v>2</v>
      </c>
      <c r="H4" s="5">
        <v>4</v>
      </c>
      <c r="I4" s="5">
        <v>4</v>
      </c>
      <c r="J4" s="5">
        <v>3</v>
      </c>
      <c r="K4" s="5">
        <v>6</v>
      </c>
      <c r="L4" s="5">
        <f t="shared" ref="L4:L17" si="0">SUM(E4:K4)</f>
        <v>29</v>
      </c>
      <c r="M4" s="5">
        <f t="shared" ref="M4:M17" si="1">L4/7</f>
        <v>4.14285714285714</v>
      </c>
    </row>
    <row r="5" ht="42" customHeight="1" spans="1:13">
      <c r="A5" s="5">
        <v>3</v>
      </c>
      <c r="B5" s="6" t="s">
        <v>20</v>
      </c>
      <c r="C5" s="6" t="s">
        <v>21</v>
      </c>
      <c r="D5" s="6" t="s">
        <v>22</v>
      </c>
      <c r="E5" s="5">
        <v>3</v>
      </c>
      <c r="F5" s="5">
        <v>3</v>
      </c>
      <c r="G5" s="5">
        <v>8</v>
      </c>
      <c r="H5" s="5">
        <v>4</v>
      </c>
      <c r="I5" s="5">
        <v>2</v>
      </c>
      <c r="J5" s="5">
        <v>3</v>
      </c>
      <c r="K5" s="5">
        <v>1</v>
      </c>
      <c r="L5" s="5">
        <f t="shared" si="0"/>
        <v>24</v>
      </c>
      <c r="M5" s="5">
        <f t="shared" si="1"/>
        <v>3.42857142857143</v>
      </c>
    </row>
    <row r="6" ht="36" customHeight="1" spans="1:13">
      <c r="A6" s="5">
        <v>4</v>
      </c>
      <c r="B6" s="6" t="s">
        <v>23</v>
      </c>
      <c r="C6" s="6" t="s">
        <v>24</v>
      </c>
      <c r="D6" s="6" t="s">
        <v>25</v>
      </c>
      <c r="E6" s="5">
        <v>1</v>
      </c>
      <c r="F6" s="5">
        <v>4</v>
      </c>
      <c r="G6" s="5">
        <v>10</v>
      </c>
      <c r="H6" s="5">
        <v>7</v>
      </c>
      <c r="I6" s="5">
        <v>3</v>
      </c>
      <c r="J6" s="5">
        <v>1</v>
      </c>
      <c r="K6" s="5">
        <v>2</v>
      </c>
      <c r="L6" s="5">
        <f t="shared" si="0"/>
        <v>28</v>
      </c>
      <c r="M6" s="5">
        <f t="shared" si="1"/>
        <v>4</v>
      </c>
    </row>
    <row r="7" ht="36" customHeight="1" spans="1:13">
      <c r="A7" s="5">
        <v>5</v>
      </c>
      <c r="B7" s="6" t="s">
        <v>26</v>
      </c>
      <c r="C7" s="6" t="s">
        <v>27</v>
      </c>
      <c r="D7" s="6" t="s">
        <v>28</v>
      </c>
      <c r="E7" s="5">
        <v>9</v>
      </c>
      <c r="F7" s="5">
        <v>5</v>
      </c>
      <c r="G7" s="5">
        <v>10</v>
      </c>
      <c r="H7" s="5">
        <v>5</v>
      </c>
      <c r="I7" s="5">
        <v>2</v>
      </c>
      <c r="J7" s="5">
        <v>2</v>
      </c>
      <c r="K7" s="5">
        <v>1</v>
      </c>
      <c r="L7" s="5">
        <f t="shared" si="0"/>
        <v>34</v>
      </c>
      <c r="M7" s="5">
        <f t="shared" si="1"/>
        <v>4.85714285714286</v>
      </c>
    </row>
    <row r="8" ht="36" customHeight="1" spans="1:13">
      <c r="A8" s="5">
        <v>6</v>
      </c>
      <c r="B8" s="6" t="s">
        <v>29</v>
      </c>
      <c r="C8" s="6" t="s">
        <v>30</v>
      </c>
      <c r="D8" s="6" t="s">
        <v>31</v>
      </c>
      <c r="E8" s="5">
        <v>6</v>
      </c>
      <c r="F8" s="5">
        <v>5</v>
      </c>
      <c r="G8" s="5">
        <v>10</v>
      </c>
      <c r="H8" s="5">
        <v>3</v>
      </c>
      <c r="I8" s="5">
        <v>6</v>
      </c>
      <c r="J8" s="5">
        <v>6</v>
      </c>
      <c r="K8" s="5">
        <v>2</v>
      </c>
      <c r="L8" s="5">
        <f t="shared" si="0"/>
        <v>38</v>
      </c>
      <c r="M8" s="5">
        <f t="shared" si="1"/>
        <v>5.42857142857143</v>
      </c>
    </row>
    <row r="9" ht="36" customHeight="1" spans="1:13">
      <c r="A9" s="5">
        <v>7</v>
      </c>
      <c r="B9" s="6" t="s">
        <v>32</v>
      </c>
      <c r="C9" s="6" t="s">
        <v>33</v>
      </c>
      <c r="D9" s="6" t="s">
        <v>34</v>
      </c>
      <c r="E9" s="5">
        <v>2</v>
      </c>
      <c r="F9" s="5">
        <v>5</v>
      </c>
      <c r="G9" s="5">
        <v>10</v>
      </c>
      <c r="H9" s="5">
        <v>2</v>
      </c>
      <c r="I9" s="5">
        <v>1</v>
      </c>
      <c r="J9" s="5">
        <v>2</v>
      </c>
      <c r="K9" s="5">
        <v>7</v>
      </c>
      <c r="L9" s="5">
        <f t="shared" si="0"/>
        <v>29</v>
      </c>
      <c r="M9" s="5">
        <f t="shared" si="1"/>
        <v>4.14285714285714</v>
      </c>
    </row>
    <row r="10" ht="36" customHeight="1" spans="1:13">
      <c r="A10" s="5">
        <v>8</v>
      </c>
      <c r="B10" s="6" t="s">
        <v>35</v>
      </c>
      <c r="C10" s="6" t="s">
        <v>36</v>
      </c>
      <c r="D10" s="6" t="s">
        <v>37</v>
      </c>
      <c r="E10" s="5">
        <v>4</v>
      </c>
      <c r="F10" s="5">
        <v>5</v>
      </c>
      <c r="G10" s="5">
        <v>10</v>
      </c>
      <c r="H10" s="5">
        <v>4</v>
      </c>
      <c r="I10" s="5">
        <v>4</v>
      </c>
      <c r="J10" s="5">
        <v>4</v>
      </c>
      <c r="K10" s="5">
        <v>6</v>
      </c>
      <c r="L10" s="5">
        <f t="shared" si="0"/>
        <v>37</v>
      </c>
      <c r="M10" s="5">
        <f t="shared" si="1"/>
        <v>5.28571428571429</v>
      </c>
    </row>
    <row r="11" ht="36" customHeight="1" spans="1:13">
      <c r="A11" s="5">
        <v>9</v>
      </c>
      <c r="B11" s="6" t="s">
        <v>38</v>
      </c>
      <c r="C11" s="6" t="s">
        <v>39</v>
      </c>
      <c r="D11" s="6" t="s">
        <v>40</v>
      </c>
      <c r="E11" s="5">
        <v>2</v>
      </c>
      <c r="F11" s="5">
        <v>8</v>
      </c>
      <c r="G11" s="5">
        <v>10</v>
      </c>
      <c r="H11" s="5">
        <v>4</v>
      </c>
      <c r="I11" s="5">
        <v>3</v>
      </c>
      <c r="J11" s="5">
        <v>2</v>
      </c>
      <c r="K11" s="5">
        <v>2</v>
      </c>
      <c r="L11" s="5">
        <f t="shared" si="0"/>
        <v>31</v>
      </c>
      <c r="M11" s="5">
        <f t="shared" si="1"/>
        <v>4.42857142857143</v>
      </c>
    </row>
    <row r="12" ht="36" customHeight="1" spans="1:13">
      <c r="A12" s="5">
        <v>10</v>
      </c>
      <c r="B12" s="6" t="s">
        <v>41</v>
      </c>
      <c r="C12" s="6" t="s">
        <v>42</v>
      </c>
      <c r="D12" s="6" t="s">
        <v>43</v>
      </c>
      <c r="E12" s="5">
        <v>5</v>
      </c>
      <c r="F12" s="5">
        <v>3</v>
      </c>
      <c r="G12" s="5">
        <v>10</v>
      </c>
      <c r="H12" s="5">
        <v>3</v>
      </c>
      <c r="I12" s="5">
        <v>7</v>
      </c>
      <c r="J12" s="5">
        <v>7</v>
      </c>
      <c r="K12" s="5">
        <v>7</v>
      </c>
      <c r="L12" s="5">
        <f t="shared" si="0"/>
        <v>42</v>
      </c>
      <c r="M12" s="5">
        <f t="shared" si="1"/>
        <v>6</v>
      </c>
    </row>
    <row r="13" ht="36" customHeight="1" spans="1:13">
      <c r="A13" s="5">
        <v>11</v>
      </c>
      <c r="B13" s="6" t="s">
        <v>44</v>
      </c>
      <c r="C13" s="6" t="s">
        <v>45</v>
      </c>
      <c r="D13" s="6" t="s">
        <v>46</v>
      </c>
      <c r="E13" s="5">
        <v>4</v>
      </c>
      <c r="F13" s="5">
        <v>4</v>
      </c>
      <c r="G13" s="5">
        <v>10</v>
      </c>
      <c r="H13" s="5">
        <v>4</v>
      </c>
      <c r="I13" s="5">
        <v>5</v>
      </c>
      <c r="J13" s="5">
        <v>4</v>
      </c>
      <c r="K13" s="5">
        <v>4</v>
      </c>
      <c r="L13" s="5">
        <f t="shared" si="0"/>
        <v>35</v>
      </c>
      <c r="M13" s="5">
        <f t="shared" si="1"/>
        <v>5</v>
      </c>
    </row>
    <row r="14" ht="36" customHeight="1" spans="1:13">
      <c r="A14" s="5">
        <v>12</v>
      </c>
      <c r="B14" s="6" t="s">
        <v>47</v>
      </c>
      <c r="C14" s="6" t="s">
        <v>48</v>
      </c>
      <c r="D14" s="6" t="s">
        <v>49</v>
      </c>
      <c r="E14" s="5">
        <v>2</v>
      </c>
      <c r="F14" s="5">
        <v>3</v>
      </c>
      <c r="G14" s="5">
        <v>2</v>
      </c>
      <c r="H14" s="5">
        <v>1</v>
      </c>
      <c r="I14" s="5">
        <v>3</v>
      </c>
      <c r="J14" s="5">
        <v>3</v>
      </c>
      <c r="K14" s="5">
        <v>3</v>
      </c>
      <c r="L14" s="5">
        <f t="shared" si="0"/>
        <v>17</v>
      </c>
      <c r="M14" s="5">
        <f t="shared" si="1"/>
        <v>2.42857142857143</v>
      </c>
    </row>
    <row r="15" ht="36" customHeight="1" spans="1:13">
      <c r="A15" s="5">
        <v>13</v>
      </c>
      <c r="B15" s="6" t="s">
        <v>50</v>
      </c>
      <c r="C15" s="6" t="s">
        <v>51</v>
      </c>
      <c r="D15" s="6" t="s">
        <v>52</v>
      </c>
      <c r="E15" s="5">
        <v>1</v>
      </c>
      <c r="F15" s="5">
        <v>4</v>
      </c>
      <c r="G15" s="5">
        <v>1</v>
      </c>
      <c r="H15" s="5">
        <v>1</v>
      </c>
      <c r="I15" s="5">
        <v>2</v>
      </c>
      <c r="J15" s="5">
        <v>4</v>
      </c>
      <c r="K15" s="5">
        <v>2</v>
      </c>
      <c r="L15" s="5">
        <f t="shared" si="0"/>
        <v>15</v>
      </c>
      <c r="M15" s="5">
        <f t="shared" si="1"/>
        <v>2.14285714285714</v>
      </c>
    </row>
    <row r="16" ht="16.5" customHeight="1" spans="1:13">
      <c r="A16" s="7" t="s">
        <v>53</v>
      </c>
      <c r="B16" s="7"/>
      <c r="C16" s="7"/>
      <c r="D16" s="7"/>
      <c r="E16" s="5">
        <f>SUM(E3:E15)</f>
        <v>52</v>
      </c>
      <c r="F16" s="5">
        <f t="shared" ref="F16:K16" si="2">SUM(F3:F15)</f>
        <v>59</v>
      </c>
      <c r="G16" s="5">
        <f t="shared" si="2"/>
        <v>103</v>
      </c>
      <c r="H16" s="5">
        <f t="shared" si="2"/>
        <v>50</v>
      </c>
      <c r="I16" s="5">
        <f t="shared" si="2"/>
        <v>47</v>
      </c>
      <c r="J16" s="5">
        <f t="shared" si="2"/>
        <v>47</v>
      </c>
      <c r="K16" s="5">
        <f t="shared" si="2"/>
        <v>45</v>
      </c>
      <c r="L16" s="5">
        <f t="shared" si="0"/>
        <v>403</v>
      </c>
      <c r="M16" s="5">
        <f t="shared" si="1"/>
        <v>57.5714285714286</v>
      </c>
    </row>
    <row r="17" ht="16.5" customHeight="1" spans="1:13">
      <c r="A17" s="7" t="s">
        <v>54</v>
      </c>
      <c r="B17" s="7"/>
      <c r="C17" s="7"/>
      <c r="D17" s="7"/>
      <c r="E17" s="5">
        <f>E16/13</f>
        <v>4</v>
      </c>
      <c r="F17" s="5">
        <f t="shared" ref="F17:K17" si="3">F16/13</f>
        <v>4.53846153846154</v>
      </c>
      <c r="G17" s="5">
        <f t="shared" si="3"/>
        <v>7.92307692307692</v>
      </c>
      <c r="H17" s="5">
        <f t="shared" si="3"/>
        <v>3.84615384615385</v>
      </c>
      <c r="I17" s="5">
        <f t="shared" si="3"/>
        <v>3.61538461538462</v>
      </c>
      <c r="J17" s="5">
        <f t="shared" si="3"/>
        <v>3.61538461538462</v>
      </c>
      <c r="K17" s="5">
        <f t="shared" si="3"/>
        <v>3.46153846153846</v>
      </c>
      <c r="L17" s="5">
        <f t="shared" si="0"/>
        <v>31</v>
      </c>
      <c r="M17" s="5">
        <f t="shared" si="1"/>
        <v>4.42857142857143</v>
      </c>
    </row>
    <row r="18" ht="15" spans="1:13">
      <c r="A18" s="8" t="s">
        <v>167</v>
      </c>
      <c r="B18" s="8"/>
    </row>
    <row r="19" ht="15" spans="1:13">
      <c r="A19" s="3" t="s">
        <v>1</v>
      </c>
      <c r="B19" s="3" t="s">
        <v>2</v>
      </c>
      <c r="C19" s="4" t="s">
        <v>3</v>
      </c>
      <c r="D19" s="4" t="s">
        <v>4</v>
      </c>
      <c r="E19" s="3" t="s">
        <v>168</v>
      </c>
      <c r="F19" s="3"/>
      <c r="G19" s="3"/>
      <c r="H19" s="3"/>
      <c r="I19" s="3"/>
      <c r="J19" s="3"/>
      <c r="K19" s="3"/>
      <c r="L19" s="3"/>
      <c r="M19" s="3"/>
    </row>
    <row r="20" ht="34" customHeight="1" spans="1:13">
      <c r="A20" s="5">
        <v>1</v>
      </c>
      <c r="B20" s="6" t="s">
        <v>57</v>
      </c>
      <c r="C20" s="6" t="s">
        <v>58</v>
      </c>
      <c r="D20" s="6" t="s">
        <v>59</v>
      </c>
      <c r="E20" s="5">
        <v>9</v>
      </c>
      <c r="F20" s="5">
        <v>5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f>SUM(E20:K20)</f>
        <v>19</v>
      </c>
      <c r="M20" s="5">
        <f>L20/7</f>
        <v>2.71428571428571</v>
      </c>
    </row>
    <row r="21" ht="43" customHeight="1" spans="1:13">
      <c r="A21" s="5">
        <v>2</v>
      </c>
      <c r="B21" s="6" t="s">
        <v>60</v>
      </c>
      <c r="C21" s="6" t="s">
        <v>61</v>
      </c>
      <c r="D21" s="6" t="s">
        <v>62</v>
      </c>
      <c r="E21" s="5">
        <v>5</v>
      </c>
      <c r="F21" s="5">
        <v>6</v>
      </c>
      <c r="G21" s="5">
        <v>1</v>
      </c>
      <c r="H21" s="5">
        <v>2</v>
      </c>
      <c r="I21" s="5">
        <v>1</v>
      </c>
      <c r="J21" s="5">
        <v>3</v>
      </c>
      <c r="K21" s="5">
        <v>5</v>
      </c>
      <c r="L21" s="5">
        <f t="shared" ref="L21:L29" si="4">SUM(E21:K21)</f>
        <v>23</v>
      </c>
      <c r="M21" s="5">
        <f t="shared" ref="M21:M29" si="5">L21/7</f>
        <v>3.28571428571429</v>
      </c>
    </row>
    <row r="22" ht="34" customHeight="1" spans="1:13">
      <c r="A22" s="5">
        <v>3</v>
      </c>
      <c r="B22" s="6" t="s">
        <v>63</v>
      </c>
      <c r="C22" s="6" t="s">
        <v>64</v>
      </c>
      <c r="D22" s="6" t="s">
        <v>65</v>
      </c>
      <c r="E22" s="5">
        <v>1</v>
      </c>
      <c r="F22" s="5">
        <v>5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f t="shared" si="4"/>
        <v>11</v>
      </c>
      <c r="M22" s="5">
        <f t="shared" si="5"/>
        <v>1.57142857142857</v>
      </c>
    </row>
    <row r="23" ht="34" customHeight="1" spans="1:13">
      <c r="A23" s="5">
        <v>4</v>
      </c>
      <c r="B23" s="6" t="s">
        <v>66</v>
      </c>
      <c r="C23" s="6" t="s">
        <v>67</v>
      </c>
      <c r="D23" s="6" t="s">
        <v>68</v>
      </c>
      <c r="E23" s="5">
        <v>1</v>
      </c>
      <c r="F23" s="5">
        <v>4</v>
      </c>
      <c r="G23" s="5">
        <v>1</v>
      </c>
      <c r="H23" s="5">
        <v>2</v>
      </c>
      <c r="I23" s="5">
        <v>1</v>
      </c>
      <c r="J23" s="5">
        <v>2</v>
      </c>
      <c r="K23" s="5">
        <v>3</v>
      </c>
      <c r="L23" s="5">
        <f t="shared" si="4"/>
        <v>14</v>
      </c>
      <c r="M23" s="5">
        <f t="shared" si="5"/>
        <v>2</v>
      </c>
    </row>
    <row r="24" ht="34" customHeight="1" spans="1:13">
      <c r="A24" s="5">
        <v>5</v>
      </c>
      <c r="B24" s="6" t="s">
        <v>69</v>
      </c>
      <c r="C24" s="6" t="s">
        <v>64</v>
      </c>
      <c r="D24" s="6" t="s">
        <v>70</v>
      </c>
      <c r="E24" s="5">
        <v>1</v>
      </c>
      <c r="F24" s="5">
        <v>3</v>
      </c>
      <c r="G24" s="5">
        <v>2</v>
      </c>
      <c r="H24" s="5">
        <v>3</v>
      </c>
      <c r="I24" s="5">
        <v>1</v>
      </c>
      <c r="J24" s="5">
        <v>3</v>
      </c>
      <c r="K24" s="5">
        <v>1</v>
      </c>
      <c r="L24" s="5">
        <f t="shared" si="4"/>
        <v>14</v>
      </c>
      <c r="M24" s="5">
        <f t="shared" si="5"/>
        <v>2</v>
      </c>
    </row>
    <row r="25" ht="34" customHeight="1" spans="1:13">
      <c r="A25" s="5">
        <v>6</v>
      </c>
      <c r="B25" s="6" t="s">
        <v>71</v>
      </c>
      <c r="C25" s="6" t="s">
        <v>72</v>
      </c>
      <c r="D25" s="6" t="s">
        <v>73</v>
      </c>
      <c r="E25" s="5">
        <v>1</v>
      </c>
      <c r="F25" s="5">
        <v>4</v>
      </c>
      <c r="G25" s="5">
        <v>5</v>
      </c>
      <c r="H25" s="5">
        <v>4</v>
      </c>
      <c r="I25" s="5">
        <v>2</v>
      </c>
      <c r="J25" s="5">
        <v>2</v>
      </c>
      <c r="K25" s="5">
        <v>2</v>
      </c>
      <c r="L25" s="5">
        <f t="shared" si="4"/>
        <v>20</v>
      </c>
      <c r="M25" s="5">
        <f t="shared" si="5"/>
        <v>2.85714285714286</v>
      </c>
    </row>
    <row r="26" ht="34" customHeight="1" spans="1:13">
      <c r="A26" s="5">
        <v>7</v>
      </c>
      <c r="B26" s="6" t="s">
        <v>74</v>
      </c>
      <c r="C26" s="6" t="s">
        <v>58</v>
      </c>
      <c r="D26" s="6" t="s">
        <v>75</v>
      </c>
      <c r="E26" s="5">
        <v>1</v>
      </c>
      <c r="F26" s="5">
        <v>5</v>
      </c>
      <c r="G26" s="5">
        <v>2</v>
      </c>
      <c r="H26" s="5">
        <v>3</v>
      </c>
      <c r="I26" s="5">
        <v>1</v>
      </c>
      <c r="J26" s="5">
        <v>1</v>
      </c>
      <c r="K26" s="5">
        <v>1</v>
      </c>
      <c r="L26" s="5">
        <f t="shared" si="4"/>
        <v>14</v>
      </c>
      <c r="M26" s="5">
        <f t="shared" si="5"/>
        <v>2</v>
      </c>
    </row>
    <row r="27" ht="34" customHeight="1" spans="1:13">
      <c r="A27" s="5">
        <v>8</v>
      </c>
      <c r="B27" s="6" t="s">
        <v>76</v>
      </c>
      <c r="C27" s="6" t="s">
        <v>77</v>
      </c>
      <c r="D27" s="6" t="s">
        <v>78</v>
      </c>
      <c r="E27" s="5">
        <v>1</v>
      </c>
      <c r="F27" s="5">
        <v>3</v>
      </c>
      <c r="G27" s="5">
        <v>1</v>
      </c>
      <c r="H27" s="5">
        <v>4</v>
      </c>
      <c r="I27" s="5">
        <v>1</v>
      </c>
      <c r="J27" s="5">
        <v>1</v>
      </c>
      <c r="K27" s="5">
        <v>1</v>
      </c>
      <c r="L27" s="5">
        <f t="shared" si="4"/>
        <v>12</v>
      </c>
      <c r="M27" s="5">
        <f t="shared" si="5"/>
        <v>1.71428571428571</v>
      </c>
    </row>
    <row r="28" ht="16.5" customHeight="1" spans="1:13">
      <c r="A28" s="7" t="s">
        <v>53</v>
      </c>
      <c r="B28" s="7"/>
      <c r="C28" s="7"/>
      <c r="D28" s="7"/>
      <c r="E28" s="5">
        <f>SUM(E20:E27)</f>
        <v>20</v>
      </c>
      <c r="F28" s="5">
        <f t="shared" ref="F28:K28" si="6">SUM(F20:F27)</f>
        <v>35</v>
      </c>
      <c r="G28" s="5">
        <f t="shared" si="6"/>
        <v>14</v>
      </c>
      <c r="H28" s="5">
        <f t="shared" si="6"/>
        <v>20</v>
      </c>
      <c r="I28" s="5">
        <f t="shared" si="6"/>
        <v>9</v>
      </c>
      <c r="J28" s="5">
        <f t="shared" si="6"/>
        <v>14</v>
      </c>
      <c r="K28" s="5">
        <f t="shared" si="6"/>
        <v>15</v>
      </c>
      <c r="L28" s="5">
        <f t="shared" si="4"/>
        <v>127</v>
      </c>
      <c r="M28" s="5">
        <f t="shared" si="5"/>
        <v>18.1428571428571</v>
      </c>
    </row>
    <row r="29" ht="16.5" customHeight="1" spans="1:13">
      <c r="A29" s="7" t="s">
        <v>54</v>
      </c>
      <c r="B29" s="7"/>
      <c r="C29" s="7"/>
      <c r="D29" s="7"/>
      <c r="E29" s="5">
        <f>E28/8</f>
        <v>2.5</v>
      </c>
      <c r="F29" s="5">
        <f t="shared" ref="F29:K29" si="7">F28/8</f>
        <v>4.375</v>
      </c>
      <c r="G29" s="5">
        <f t="shared" si="7"/>
        <v>1.75</v>
      </c>
      <c r="H29" s="5">
        <f t="shared" si="7"/>
        <v>2.5</v>
      </c>
      <c r="I29" s="5">
        <f t="shared" si="7"/>
        <v>1.125</v>
      </c>
      <c r="J29" s="5">
        <f t="shared" si="7"/>
        <v>1.75</v>
      </c>
      <c r="K29" s="5">
        <f t="shared" si="7"/>
        <v>1.875</v>
      </c>
      <c r="L29" s="5">
        <f t="shared" si="4"/>
        <v>15.875</v>
      </c>
      <c r="M29" s="5">
        <f t="shared" si="5"/>
        <v>2.26785714285714</v>
      </c>
    </row>
    <row r="30" spans="1:13">
      <c r="A30" s="9" t="s">
        <v>79</v>
      </c>
    </row>
    <row r="31" ht="15" spans="1:13">
      <c r="A31" s="8" t="s">
        <v>80</v>
      </c>
      <c r="B31" s="8"/>
    </row>
    <row r="32" ht="15" spans="1:13">
      <c r="A32" s="3" t="s">
        <v>1</v>
      </c>
      <c r="B32" s="3" t="s">
        <v>2</v>
      </c>
      <c r="C32" s="4" t="s">
        <v>3</v>
      </c>
      <c r="D32" s="4" t="s">
        <v>4</v>
      </c>
      <c r="E32" s="3" t="s">
        <v>168</v>
      </c>
      <c r="F32" s="3"/>
      <c r="G32" s="3"/>
      <c r="H32" s="3"/>
      <c r="I32" s="3"/>
      <c r="J32" s="3"/>
      <c r="K32" s="3"/>
      <c r="L32" s="3"/>
      <c r="M32" s="3"/>
    </row>
    <row r="33" ht="31" customHeight="1" spans="1:13">
      <c r="A33" s="5">
        <v>1</v>
      </c>
      <c r="B33" s="6" t="s">
        <v>81</v>
      </c>
      <c r="C33" s="6" t="s">
        <v>82</v>
      </c>
      <c r="D33" s="6" t="s">
        <v>83</v>
      </c>
      <c r="E33" s="5">
        <v>4</v>
      </c>
      <c r="F33" s="5">
        <v>10</v>
      </c>
      <c r="G33" s="5">
        <v>7</v>
      </c>
      <c r="H33" s="5">
        <v>6</v>
      </c>
      <c r="I33" s="5">
        <v>8</v>
      </c>
      <c r="J33" s="5">
        <v>7</v>
      </c>
      <c r="K33" s="5">
        <v>8</v>
      </c>
      <c r="L33" s="5">
        <f>SUM(E33:K33)</f>
        <v>50</v>
      </c>
      <c r="M33" s="5">
        <f>L33/7</f>
        <v>7.14285714285714</v>
      </c>
    </row>
    <row r="34" ht="31" customHeight="1" spans="1:13">
      <c r="A34" s="5">
        <v>2</v>
      </c>
      <c r="B34" s="6" t="s">
        <v>84</v>
      </c>
      <c r="C34" s="6" t="s">
        <v>85</v>
      </c>
      <c r="D34" s="6" t="s">
        <v>86</v>
      </c>
      <c r="E34" s="5">
        <v>2</v>
      </c>
      <c r="F34" s="5">
        <v>3</v>
      </c>
      <c r="G34" s="5">
        <v>10</v>
      </c>
      <c r="H34" s="5">
        <v>5</v>
      </c>
      <c r="I34" s="5">
        <v>4</v>
      </c>
      <c r="J34" s="5">
        <v>6</v>
      </c>
      <c r="K34" s="5">
        <v>2</v>
      </c>
      <c r="L34" s="5">
        <f t="shared" ref="L34:L44" si="8">SUM(E34:K34)</f>
        <v>32</v>
      </c>
      <c r="M34" s="5">
        <f t="shared" ref="M34:M44" si="9">L34/7</f>
        <v>4.57142857142857</v>
      </c>
    </row>
    <row r="35" ht="31" customHeight="1" spans="1:13">
      <c r="A35" s="5">
        <v>3</v>
      </c>
      <c r="B35" s="6" t="s">
        <v>87</v>
      </c>
      <c r="C35" s="6" t="s">
        <v>88</v>
      </c>
      <c r="D35" s="6" t="s">
        <v>89</v>
      </c>
      <c r="E35" s="5">
        <v>1</v>
      </c>
      <c r="F35" s="5">
        <v>8</v>
      </c>
      <c r="G35" s="5">
        <v>1</v>
      </c>
      <c r="H35" s="5">
        <v>5</v>
      </c>
      <c r="I35" s="5">
        <v>2</v>
      </c>
      <c r="J35" s="5">
        <v>1</v>
      </c>
      <c r="K35" s="5">
        <v>1</v>
      </c>
      <c r="L35" s="5">
        <f t="shared" si="8"/>
        <v>19</v>
      </c>
      <c r="M35" s="5">
        <f t="shared" si="9"/>
        <v>2.71428571428571</v>
      </c>
    </row>
    <row r="36" ht="31" customHeight="1" spans="1:13">
      <c r="A36" s="5">
        <v>4</v>
      </c>
      <c r="B36" s="6" t="s">
        <v>90</v>
      </c>
      <c r="C36" s="6" t="s">
        <v>91</v>
      </c>
      <c r="D36" s="6" t="s">
        <v>92</v>
      </c>
      <c r="E36" s="5">
        <v>8</v>
      </c>
      <c r="F36" s="5">
        <v>3</v>
      </c>
      <c r="G36" s="5">
        <v>10</v>
      </c>
      <c r="H36" s="5">
        <v>5</v>
      </c>
      <c r="I36" s="5">
        <v>6</v>
      </c>
      <c r="J36" s="5">
        <v>3</v>
      </c>
      <c r="K36" s="5">
        <v>8</v>
      </c>
      <c r="L36" s="5">
        <f t="shared" si="8"/>
        <v>43</v>
      </c>
      <c r="M36" s="5">
        <f t="shared" si="9"/>
        <v>6.14285714285714</v>
      </c>
    </row>
    <row r="37" ht="31" customHeight="1" spans="1:13">
      <c r="A37" s="5">
        <v>5</v>
      </c>
      <c r="B37" s="6" t="s">
        <v>93</v>
      </c>
      <c r="C37" s="6" t="s">
        <v>94</v>
      </c>
      <c r="D37" s="6" t="s">
        <v>95</v>
      </c>
      <c r="E37" s="5">
        <v>1</v>
      </c>
      <c r="F37" s="5">
        <v>8</v>
      </c>
      <c r="G37" s="5">
        <v>1</v>
      </c>
      <c r="H37" s="5">
        <v>5</v>
      </c>
      <c r="I37" s="5">
        <v>9</v>
      </c>
      <c r="J37" s="5">
        <v>8</v>
      </c>
      <c r="K37" s="5">
        <v>2</v>
      </c>
      <c r="L37" s="5">
        <f t="shared" si="8"/>
        <v>34</v>
      </c>
      <c r="M37" s="5">
        <f t="shared" si="9"/>
        <v>4.85714285714286</v>
      </c>
    </row>
    <row r="38" ht="31" customHeight="1" spans="1:13">
      <c r="A38" s="5">
        <v>6</v>
      </c>
      <c r="B38" s="6" t="s">
        <v>96</v>
      </c>
      <c r="C38" s="6" t="s">
        <v>97</v>
      </c>
      <c r="D38" s="6" t="s">
        <v>98</v>
      </c>
      <c r="E38" s="5">
        <v>1</v>
      </c>
      <c r="F38" s="5">
        <v>10</v>
      </c>
      <c r="G38" s="5">
        <v>10</v>
      </c>
      <c r="H38" s="5">
        <v>4</v>
      </c>
      <c r="I38" s="5">
        <v>3</v>
      </c>
      <c r="J38" s="5">
        <v>2</v>
      </c>
      <c r="K38" s="5">
        <v>3</v>
      </c>
      <c r="L38" s="5">
        <f t="shared" si="8"/>
        <v>33</v>
      </c>
      <c r="M38" s="5">
        <f t="shared" si="9"/>
        <v>4.71428571428571</v>
      </c>
    </row>
    <row r="39" ht="31" customHeight="1" spans="1:13">
      <c r="A39" s="5">
        <v>7</v>
      </c>
      <c r="B39" s="6" t="s">
        <v>99</v>
      </c>
      <c r="C39" s="6" t="s">
        <v>100</v>
      </c>
      <c r="D39" s="6" t="s">
        <v>101</v>
      </c>
      <c r="E39" s="5">
        <v>7</v>
      </c>
      <c r="F39" s="5">
        <v>8</v>
      </c>
      <c r="G39" s="5">
        <v>8</v>
      </c>
      <c r="H39" s="5">
        <v>1</v>
      </c>
      <c r="I39" s="5">
        <v>3</v>
      </c>
      <c r="J39" s="5">
        <v>2</v>
      </c>
      <c r="K39" s="5">
        <v>3</v>
      </c>
      <c r="L39" s="5">
        <f t="shared" si="8"/>
        <v>32</v>
      </c>
      <c r="M39" s="5">
        <f t="shared" si="9"/>
        <v>4.57142857142857</v>
      </c>
    </row>
    <row r="40" ht="31" customHeight="1" spans="1:13">
      <c r="A40" s="5">
        <v>8</v>
      </c>
      <c r="B40" s="6" t="s">
        <v>102</v>
      </c>
      <c r="C40" s="6" t="s">
        <v>103</v>
      </c>
      <c r="D40" s="6" t="s">
        <v>104</v>
      </c>
      <c r="E40" s="5">
        <v>8</v>
      </c>
      <c r="F40" s="5">
        <v>8</v>
      </c>
      <c r="G40" s="5">
        <v>1</v>
      </c>
      <c r="H40" s="5">
        <v>3</v>
      </c>
      <c r="I40" s="5">
        <v>7</v>
      </c>
      <c r="J40" s="5">
        <v>7</v>
      </c>
      <c r="K40" s="5">
        <v>5</v>
      </c>
      <c r="L40" s="5">
        <f t="shared" si="8"/>
        <v>39</v>
      </c>
      <c r="M40" s="5">
        <f t="shared" si="9"/>
        <v>5.57142857142857</v>
      </c>
    </row>
    <row r="41" ht="31" customHeight="1" spans="1:13">
      <c r="A41" s="5">
        <v>9</v>
      </c>
      <c r="B41" s="6" t="s">
        <v>105</v>
      </c>
      <c r="C41" s="6" t="s">
        <v>106</v>
      </c>
      <c r="D41" s="6" t="s">
        <v>107</v>
      </c>
      <c r="E41" s="5">
        <v>2</v>
      </c>
      <c r="F41" s="5">
        <v>5</v>
      </c>
      <c r="G41" s="5">
        <v>3</v>
      </c>
      <c r="H41" s="5">
        <v>2</v>
      </c>
      <c r="I41" s="5">
        <v>2</v>
      </c>
      <c r="J41" s="5">
        <v>6</v>
      </c>
      <c r="K41" s="5">
        <v>6</v>
      </c>
      <c r="L41" s="5">
        <f t="shared" si="8"/>
        <v>26</v>
      </c>
      <c r="M41" s="5">
        <f t="shared" si="9"/>
        <v>3.71428571428571</v>
      </c>
    </row>
    <row r="42" ht="31" customHeight="1" spans="1:13">
      <c r="A42" s="5">
        <v>10</v>
      </c>
      <c r="B42" s="6" t="s">
        <v>99</v>
      </c>
      <c r="C42" s="6" t="s">
        <v>100</v>
      </c>
      <c r="D42" s="6" t="s">
        <v>101</v>
      </c>
      <c r="E42" s="5">
        <v>8</v>
      </c>
      <c r="F42" s="5">
        <v>8</v>
      </c>
      <c r="G42" s="5">
        <v>7</v>
      </c>
      <c r="H42" s="5">
        <v>1</v>
      </c>
      <c r="I42" s="5">
        <v>3</v>
      </c>
      <c r="J42" s="5">
        <v>2</v>
      </c>
      <c r="K42" s="5">
        <v>3</v>
      </c>
      <c r="L42" s="5">
        <f t="shared" si="8"/>
        <v>32</v>
      </c>
      <c r="M42" s="5">
        <f t="shared" si="9"/>
        <v>4.57142857142857</v>
      </c>
    </row>
    <row r="43" ht="16.5" customHeight="1" spans="1:13">
      <c r="A43" s="7" t="s">
        <v>53</v>
      </c>
      <c r="B43" s="7"/>
      <c r="C43" s="7"/>
      <c r="D43" s="7"/>
      <c r="E43" s="5">
        <f>SUM(E33:E42)</f>
        <v>42</v>
      </c>
      <c r="F43" s="5">
        <f t="shared" ref="F43:K43" si="10">SUM(F33:F42)</f>
        <v>71</v>
      </c>
      <c r="G43" s="5">
        <f t="shared" si="10"/>
        <v>58</v>
      </c>
      <c r="H43" s="5">
        <f t="shared" si="10"/>
        <v>37</v>
      </c>
      <c r="I43" s="5">
        <f t="shared" si="10"/>
        <v>47</v>
      </c>
      <c r="J43" s="5">
        <f t="shared" si="10"/>
        <v>44</v>
      </c>
      <c r="K43" s="5">
        <f t="shared" si="10"/>
        <v>41</v>
      </c>
      <c r="L43" s="5">
        <f t="shared" si="8"/>
        <v>340</v>
      </c>
      <c r="M43" s="5">
        <f t="shared" si="9"/>
        <v>48.5714285714286</v>
      </c>
    </row>
    <row r="44" ht="16.5" customHeight="1" spans="1:13">
      <c r="A44" s="7" t="s">
        <v>54</v>
      </c>
      <c r="B44" s="7"/>
      <c r="C44" s="7"/>
      <c r="D44" s="7"/>
      <c r="E44" s="5">
        <f>E43/10</f>
        <v>4.2</v>
      </c>
      <c r="F44" s="5">
        <f t="shared" ref="F44:K44" si="11">F43/10</f>
        <v>7.1</v>
      </c>
      <c r="G44" s="5">
        <f t="shared" si="11"/>
        <v>5.8</v>
      </c>
      <c r="H44" s="5">
        <f t="shared" si="11"/>
        <v>3.7</v>
      </c>
      <c r="I44" s="5">
        <f t="shared" si="11"/>
        <v>4.7</v>
      </c>
      <c r="J44" s="5">
        <f t="shared" si="11"/>
        <v>4.4</v>
      </c>
      <c r="K44" s="5">
        <f t="shared" si="11"/>
        <v>4.1</v>
      </c>
      <c r="L44" s="5">
        <f t="shared" si="8"/>
        <v>34</v>
      </c>
      <c r="M44" s="5">
        <f t="shared" si="9"/>
        <v>4.85714285714286</v>
      </c>
    </row>
    <row r="45" ht="34" customHeight="1" spans="1:13">
      <c r="A45" s="7" t="s">
        <v>108</v>
      </c>
      <c r="B45" s="10" t="s">
        <v>109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ht="15" spans="1:13">
      <c r="A46" s="8" t="s">
        <v>110</v>
      </c>
      <c r="B46" s="8"/>
    </row>
    <row r="47" ht="15" spans="1:13">
      <c r="A47" s="3" t="s">
        <v>1</v>
      </c>
      <c r="B47" s="3" t="s">
        <v>2</v>
      </c>
      <c r="C47" s="4" t="s">
        <v>3</v>
      </c>
      <c r="D47" s="4" t="s">
        <v>4</v>
      </c>
      <c r="E47" s="3" t="s">
        <v>168</v>
      </c>
      <c r="F47" s="3"/>
      <c r="G47" s="3"/>
      <c r="H47" s="3"/>
      <c r="I47" s="3"/>
      <c r="J47" s="3"/>
      <c r="K47" s="3"/>
      <c r="L47" s="3"/>
      <c r="M47" s="3"/>
    </row>
    <row r="48" ht="46" customHeight="1" spans="1:13">
      <c r="A48" s="5">
        <v>1</v>
      </c>
      <c r="B48" s="6" t="s">
        <v>111</v>
      </c>
      <c r="C48" s="6" t="s">
        <v>112</v>
      </c>
      <c r="D48" s="6" t="s">
        <v>113</v>
      </c>
      <c r="E48" s="5">
        <v>1</v>
      </c>
      <c r="F48" s="5">
        <v>8</v>
      </c>
      <c r="G48" s="5">
        <v>10</v>
      </c>
      <c r="H48" s="5">
        <v>5</v>
      </c>
      <c r="I48" s="5">
        <v>9</v>
      </c>
      <c r="J48" s="5">
        <v>2</v>
      </c>
      <c r="K48" s="5">
        <v>1</v>
      </c>
      <c r="L48" s="5">
        <f>SUM(E48:K48)</f>
        <v>36</v>
      </c>
      <c r="M48" s="5">
        <f>L48/7</f>
        <v>5.14285714285714</v>
      </c>
    </row>
    <row r="49" ht="45" customHeight="1" spans="1:13">
      <c r="A49" s="5">
        <v>2</v>
      </c>
      <c r="B49" s="6" t="s">
        <v>114</v>
      </c>
      <c r="C49" s="6" t="s">
        <v>115</v>
      </c>
      <c r="D49" s="6" t="s">
        <v>116</v>
      </c>
      <c r="E49" s="5">
        <v>1</v>
      </c>
      <c r="F49" s="5">
        <v>3</v>
      </c>
      <c r="G49" s="5">
        <v>10</v>
      </c>
      <c r="H49" s="5">
        <v>3</v>
      </c>
      <c r="I49" s="5">
        <v>6</v>
      </c>
      <c r="J49" s="5">
        <v>1</v>
      </c>
      <c r="K49" s="5">
        <v>1</v>
      </c>
      <c r="L49" s="5">
        <f t="shared" ref="L49:L57" si="12">SUM(E49:K49)</f>
        <v>25</v>
      </c>
      <c r="M49" s="5">
        <f t="shared" ref="M49:M57" si="13">L49/7</f>
        <v>3.57142857142857</v>
      </c>
    </row>
    <row r="50" ht="43" customHeight="1" spans="1:13">
      <c r="A50" s="5">
        <v>3</v>
      </c>
      <c r="B50" s="6" t="s">
        <v>117</v>
      </c>
      <c r="C50" s="6" t="s">
        <v>118</v>
      </c>
      <c r="D50" s="6" t="s">
        <v>119</v>
      </c>
      <c r="E50" s="5">
        <v>1</v>
      </c>
      <c r="F50" s="5">
        <v>5</v>
      </c>
      <c r="G50" s="5">
        <v>1</v>
      </c>
      <c r="H50" s="5">
        <v>3</v>
      </c>
      <c r="I50" s="5">
        <v>1</v>
      </c>
      <c r="J50" s="5">
        <v>1</v>
      </c>
      <c r="K50" s="5">
        <v>1</v>
      </c>
      <c r="L50" s="5">
        <f t="shared" si="12"/>
        <v>13</v>
      </c>
      <c r="M50" s="5">
        <f t="shared" si="13"/>
        <v>1.85714285714286</v>
      </c>
    </row>
    <row r="51" ht="44" customHeight="1" spans="1:13">
      <c r="A51" s="5">
        <v>4</v>
      </c>
      <c r="B51" s="6" t="s">
        <v>120</v>
      </c>
      <c r="C51" s="6" t="s">
        <v>121</v>
      </c>
      <c r="D51" s="6" t="s">
        <v>122</v>
      </c>
      <c r="E51" s="5">
        <v>10</v>
      </c>
      <c r="F51" s="5">
        <v>8</v>
      </c>
      <c r="G51" s="5">
        <v>10</v>
      </c>
      <c r="H51" s="5">
        <v>5</v>
      </c>
      <c r="I51" s="5">
        <v>1</v>
      </c>
      <c r="J51" s="5">
        <v>2</v>
      </c>
      <c r="K51" s="5">
        <v>1</v>
      </c>
      <c r="L51" s="5">
        <f t="shared" si="12"/>
        <v>37</v>
      </c>
      <c r="M51" s="5">
        <f t="shared" si="13"/>
        <v>5.28571428571429</v>
      </c>
    </row>
    <row r="52" ht="34" customHeight="1" spans="1:13">
      <c r="A52" s="5">
        <v>5</v>
      </c>
      <c r="B52" s="6" t="s">
        <v>123</v>
      </c>
      <c r="C52" s="6" t="s">
        <v>124</v>
      </c>
      <c r="D52" s="6" t="s">
        <v>125</v>
      </c>
      <c r="E52" s="5">
        <v>1</v>
      </c>
      <c r="F52" s="5">
        <v>9</v>
      </c>
      <c r="G52" s="5">
        <v>10</v>
      </c>
      <c r="H52" s="5">
        <v>4</v>
      </c>
      <c r="I52" s="5">
        <v>1</v>
      </c>
      <c r="J52" s="5">
        <v>2</v>
      </c>
      <c r="K52" s="5">
        <v>1</v>
      </c>
      <c r="L52" s="5">
        <f t="shared" si="12"/>
        <v>28</v>
      </c>
      <c r="M52" s="5">
        <f t="shared" si="13"/>
        <v>4</v>
      </c>
    </row>
    <row r="53" ht="34" customHeight="1" spans="1:13">
      <c r="A53" s="5">
        <v>6</v>
      </c>
      <c r="B53" s="6" t="s">
        <v>126</v>
      </c>
      <c r="C53" s="6" t="s">
        <v>127</v>
      </c>
      <c r="D53" s="6" t="s">
        <v>128</v>
      </c>
      <c r="E53" s="5">
        <v>1</v>
      </c>
      <c r="F53" s="5">
        <v>6</v>
      </c>
      <c r="G53" s="5">
        <v>10</v>
      </c>
      <c r="H53" s="5">
        <v>2</v>
      </c>
      <c r="I53" s="5">
        <v>2</v>
      </c>
      <c r="J53" s="5">
        <v>1</v>
      </c>
      <c r="K53" s="5">
        <v>2</v>
      </c>
      <c r="L53" s="5">
        <f t="shared" si="12"/>
        <v>24</v>
      </c>
      <c r="M53" s="5">
        <f t="shared" si="13"/>
        <v>3.42857142857143</v>
      </c>
    </row>
    <row r="54" ht="34" customHeight="1" spans="1:13">
      <c r="A54" s="5">
        <v>7</v>
      </c>
      <c r="B54" s="6" t="s">
        <v>129</v>
      </c>
      <c r="C54" s="6" t="s">
        <v>130</v>
      </c>
      <c r="D54" s="6" t="s">
        <v>131</v>
      </c>
      <c r="E54" s="5">
        <v>1</v>
      </c>
      <c r="F54" s="5">
        <v>7</v>
      </c>
      <c r="G54" s="5">
        <v>10</v>
      </c>
      <c r="H54" s="5">
        <v>4</v>
      </c>
      <c r="I54" s="5">
        <v>1</v>
      </c>
      <c r="J54" s="5">
        <v>1</v>
      </c>
      <c r="K54" s="5">
        <v>2</v>
      </c>
      <c r="L54" s="5">
        <f t="shared" si="12"/>
        <v>26</v>
      </c>
      <c r="M54" s="5">
        <f t="shared" si="13"/>
        <v>3.71428571428571</v>
      </c>
    </row>
    <row r="55" ht="34" customHeight="1" spans="1:13">
      <c r="A55" s="5">
        <v>8</v>
      </c>
      <c r="B55" s="6" t="s">
        <v>132</v>
      </c>
      <c r="C55" s="6" t="s">
        <v>133</v>
      </c>
      <c r="D55" s="6" t="s">
        <v>134</v>
      </c>
      <c r="E55" s="5">
        <v>1</v>
      </c>
      <c r="F55" s="5">
        <v>8</v>
      </c>
      <c r="G55" s="5">
        <v>10</v>
      </c>
      <c r="H55" s="5">
        <v>2</v>
      </c>
      <c r="I55" s="5">
        <v>1</v>
      </c>
      <c r="J55" s="5">
        <v>2</v>
      </c>
      <c r="K55" s="5">
        <v>4</v>
      </c>
      <c r="L55" s="5">
        <f t="shared" si="12"/>
        <v>28</v>
      </c>
      <c r="M55" s="5">
        <f t="shared" si="13"/>
        <v>4</v>
      </c>
    </row>
    <row r="56" ht="16.5" customHeight="1" spans="1:13">
      <c r="A56" s="7" t="s">
        <v>53</v>
      </c>
      <c r="B56" s="7"/>
      <c r="C56" s="7"/>
      <c r="D56" s="7"/>
      <c r="E56" s="5">
        <f>SUM(E48:E55)</f>
        <v>17</v>
      </c>
      <c r="F56" s="5">
        <f t="shared" ref="F56:K56" si="14">SUM(F48:F55)</f>
        <v>54</v>
      </c>
      <c r="G56" s="5">
        <f t="shared" si="14"/>
        <v>71</v>
      </c>
      <c r="H56" s="5">
        <f t="shared" si="14"/>
        <v>28</v>
      </c>
      <c r="I56" s="5">
        <f t="shared" si="14"/>
        <v>22</v>
      </c>
      <c r="J56" s="5">
        <f t="shared" si="14"/>
        <v>12</v>
      </c>
      <c r="K56" s="5">
        <f t="shared" si="14"/>
        <v>13</v>
      </c>
      <c r="L56" s="5">
        <f t="shared" si="12"/>
        <v>217</v>
      </c>
      <c r="M56" s="5">
        <f t="shared" si="13"/>
        <v>31</v>
      </c>
    </row>
    <row r="57" ht="16.5" customHeight="1" spans="1:13">
      <c r="A57" s="7" t="s">
        <v>54</v>
      </c>
      <c r="B57" s="7"/>
      <c r="C57" s="7"/>
      <c r="D57" s="7"/>
      <c r="E57" s="5">
        <f>E56/8</f>
        <v>2.125</v>
      </c>
      <c r="F57" s="5">
        <f t="shared" ref="F57:K57" si="15">F56/8</f>
        <v>6.75</v>
      </c>
      <c r="G57" s="5">
        <f t="shared" si="15"/>
        <v>8.875</v>
      </c>
      <c r="H57" s="5">
        <f t="shared" si="15"/>
        <v>3.5</v>
      </c>
      <c r="I57" s="5">
        <f t="shared" si="15"/>
        <v>2.75</v>
      </c>
      <c r="J57" s="5">
        <f t="shared" si="15"/>
        <v>1.5</v>
      </c>
      <c r="K57" s="5">
        <f t="shared" si="15"/>
        <v>1.625</v>
      </c>
      <c r="L57" s="5">
        <f t="shared" si="12"/>
        <v>27.125</v>
      </c>
      <c r="M57" s="5">
        <f t="shared" si="13"/>
        <v>3.875</v>
      </c>
    </row>
    <row r="58" ht="15" spans="1:13">
      <c r="A58" s="8" t="s">
        <v>135</v>
      </c>
      <c r="B58" s="8"/>
    </row>
    <row r="59" ht="15" spans="1:13">
      <c r="A59" s="3" t="s">
        <v>1</v>
      </c>
      <c r="B59" s="3" t="s">
        <v>2</v>
      </c>
      <c r="C59" s="4" t="s">
        <v>3</v>
      </c>
      <c r="D59" s="4" t="s">
        <v>4</v>
      </c>
      <c r="E59" s="3" t="s">
        <v>168</v>
      </c>
      <c r="F59" s="3"/>
      <c r="G59" s="3"/>
      <c r="H59" s="3"/>
      <c r="I59" s="3"/>
      <c r="J59" s="3"/>
      <c r="K59" s="3"/>
      <c r="L59" s="3"/>
      <c r="M59" s="3"/>
    </row>
    <row r="60" ht="36" customHeight="1" spans="1:13">
      <c r="A60" s="5">
        <v>1</v>
      </c>
      <c r="B60" s="6" t="s">
        <v>136</v>
      </c>
      <c r="C60" s="6" t="s">
        <v>137</v>
      </c>
      <c r="D60" s="6" t="s">
        <v>138</v>
      </c>
      <c r="E60" s="5">
        <v>5</v>
      </c>
      <c r="F60" s="5">
        <v>5</v>
      </c>
      <c r="G60" s="5">
        <v>10</v>
      </c>
      <c r="H60" s="5">
        <v>3</v>
      </c>
      <c r="I60" s="5">
        <v>0</v>
      </c>
      <c r="J60" s="5">
        <v>0</v>
      </c>
      <c r="K60" s="5">
        <v>0</v>
      </c>
      <c r="L60" s="5">
        <f>SUM(E60:K60)</f>
        <v>23</v>
      </c>
      <c r="M60" s="5">
        <f>L60/7</f>
        <v>3.28571428571429</v>
      </c>
    </row>
    <row r="61" ht="36" customHeight="1" spans="1:13">
      <c r="A61" s="5">
        <v>2</v>
      </c>
      <c r="B61" s="6" t="s">
        <v>139</v>
      </c>
      <c r="C61" s="6" t="s">
        <v>140</v>
      </c>
      <c r="D61" s="6" t="s">
        <v>141</v>
      </c>
      <c r="E61" s="5">
        <v>1</v>
      </c>
      <c r="F61" s="5">
        <v>8</v>
      </c>
      <c r="G61" s="5">
        <v>10</v>
      </c>
      <c r="H61" s="5">
        <v>3</v>
      </c>
      <c r="I61" s="5">
        <v>0</v>
      </c>
      <c r="J61" s="5">
        <v>0</v>
      </c>
      <c r="K61" s="5">
        <v>0</v>
      </c>
      <c r="L61" s="5">
        <f t="shared" ref="L61:L67" si="16">SUM(E61:K61)</f>
        <v>22</v>
      </c>
      <c r="M61" s="5">
        <f t="shared" ref="M61:M67" si="17">L61/7</f>
        <v>3.14285714285714</v>
      </c>
    </row>
    <row r="62" ht="36" customHeight="1" spans="1:13">
      <c r="A62" s="5">
        <v>3</v>
      </c>
      <c r="B62" s="6" t="s">
        <v>142</v>
      </c>
      <c r="C62" s="6" t="s">
        <v>143</v>
      </c>
      <c r="D62" s="6" t="s">
        <v>144</v>
      </c>
      <c r="E62" s="5">
        <v>1</v>
      </c>
      <c r="F62" s="5">
        <v>8</v>
      </c>
      <c r="G62" s="5">
        <v>10</v>
      </c>
      <c r="H62" s="5">
        <v>2</v>
      </c>
      <c r="I62" s="5">
        <v>0</v>
      </c>
      <c r="J62" s="5">
        <v>0</v>
      </c>
      <c r="K62" s="5">
        <v>0</v>
      </c>
      <c r="L62" s="5">
        <f t="shared" si="16"/>
        <v>21</v>
      </c>
      <c r="M62" s="5">
        <f t="shared" si="17"/>
        <v>3</v>
      </c>
    </row>
    <row r="63" ht="36" customHeight="1" spans="1:13">
      <c r="A63" s="5">
        <v>4</v>
      </c>
      <c r="B63" s="6" t="s">
        <v>145</v>
      </c>
      <c r="C63" s="6" t="s">
        <v>146</v>
      </c>
      <c r="D63" s="6" t="s">
        <v>147</v>
      </c>
      <c r="E63" s="5">
        <v>1</v>
      </c>
      <c r="F63" s="5">
        <v>6</v>
      </c>
      <c r="G63" s="5">
        <v>4</v>
      </c>
      <c r="H63" s="5">
        <v>3</v>
      </c>
      <c r="I63" s="5">
        <v>0</v>
      </c>
      <c r="J63" s="5">
        <v>0</v>
      </c>
      <c r="K63" s="5">
        <v>0</v>
      </c>
      <c r="L63" s="5">
        <f t="shared" si="16"/>
        <v>14</v>
      </c>
      <c r="M63" s="5">
        <f t="shared" si="17"/>
        <v>2</v>
      </c>
    </row>
    <row r="64" ht="36" customHeight="1" spans="1:13">
      <c r="A64" s="5">
        <v>5</v>
      </c>
      <c r="B64" s="6" t="s">
        <v>148</v>
      </c>
      <c r="C64" s="6" t="s">
        <v>149</v>
      </c>
      <c r="D64" s="6" t="s">
        <v>150</v>
      </c>
      <c r="E64" s="5">
        <v>1</v>
      </c>
      <c r="F64" s="5">
        <v>7</v>
      </c>
      <c r="G64" s="5">
        <v>5</v>
      </c>
      <c r="H64" s="5">
        <v>4</v>
      </c>
      <c r="I64" s="5">
        <v>1</v>
      </c>
      <c r="J64" s="5">
        <v>0</v>
      </c>
      <c r="K64" s="5">
        <v>0</v>
      </c>
      <c r="L64" s="5">
        <f t="shared" si="16"/>
        <v>18</v>
      </c>
      <c r="M64" s="5">
        <f t="shared" si="17"/>
        <v>2.57142857142857</v>
      </c>
    </row>
    <row r="65" ht="44" customHeight="1" spans="1:13">
      <c r="A65" s="5">
        <v>6</v>
      </c>
      <c r="B65" s="6" t="s">
        <v>151</v>
      </c>
      <c r="C65" s="6" t="s">
        <v>152</v>
      </c>
      <c r="D65" s="6" t="s">
        <v>153</v>
      </c>
      <c r="E65" s="5">
        <v>10</v>
      </c>
      <c r="F65" s="5">
        <v>10</v>
      </c>
      <c r="G65" s="5">
        <v>10</v>
      </c>
      <c r="H65" s="5">
        <v>2</v>
      </c>
      <c r="I65" s="5">
        <v>0</v>
      </c>
      <c r="J65" s="5">
        <v>0</v>
      </c>
      <c r="K65" s="5">
        <v>0</v>
      </c>
      <c r="L65" s="5">
        <f t="shared" si="16"/>
        <v>32</v>
      </c>
      <c r="M65" s="5">
        <f t="shared" si="17"/>
        <v>4.57142857142857</v>
      </c>
    </row>
    <row r="66" ht="16.5" customHeight="1" spans="1:13">
      <c r="A66" s="7" t="s">
        <v>53</v>
      </c>
      <c r="B66" s="7"/>
      <c r="C66" s="7"/>
      <c r="D66" s="7"/>
      <c r="E66" s="5">
        <f>SUM(E60:E65)</f>
        <v>19</v>
      </c>
      <c r="F66" s="5">
        <f t="shared" ref="F66:K66" si="18">SUM(F60:F65)</f>
        <v>44</v>
      </c>
      <c r="G66" s="5">
        <f t="shared" si="18"/>
        <v>49</v>
      </c>
      <c r="H66" s="5">
        <f t="shared" si="18"/>
        <v>17</v>
      </c>
      <c r="I66" s="5">
        <f t="shared" si="18"/>
        <v>1</v>
      </c>
      <c r="J66" s="5">
        <f t="shared" si="18"/>
        <v>0</v>
      </c>
      <c r="K66" s="5">
        <f t="shared" si="18"/>
        <v>0</v>
      </c>
      <c r="L66" s="5">
        <f t="shared" si="16"/>
        <v>130</v>
      </c>
      <c r="M66" s="5">
        <f t="shared" si="17"/>
        <v>18.5714285714286</v>
      </c>
    </row>
    <row r="67" ht="16.5" customHeight="1" spans="1:13">
      <c r="A67" s="7" t="s">
        <v>54</v>
      </c>
      <c r="B67" s="7"/>
      <c r="C67" s="7"/>
      <c r="D67" s="7"/>
      <c r="E67" s="5">
        <f>E66/6</f>
        <v>3.16666666666667</v>
      </c>
      <c r="F67" s="5">
        <f t="shared" ref="F67:K67" si="19">F66/6</f>
        <v>7.33333333333333</v>
      </c>
      <c r="G67" s="5">
        <f t="shared" si="19"/>
        <v>8.16666666666667</v>
      </c>
      <c r="H67" s="5">
        <f t="shared" si="19"/>
        <v>2.83333333333333</v>
      </c>
      <c r="I67" s="5">
        <f t="shared" si="19"/>
        <v>0.166666666666667</v>
      </c>
      <c r="J67" s="5">
        <f t="shared" si="19"/>
        <v>0</v>
      </c>
      <c r="K67" s="5">
        <f t="shared" si="19"/>
        <v>0</v>
      </c>
      <c r="L67" s="5">
        <f t="shared" si="16"/>
        <v>21.6666666666667</v>
      </c>
      <c r="M67" s="5">
        <f t="shared" si="17"/>
        <v>3.09523809523809</v>
      </c>
    </row>
    <row r="70" spans="1:13">
      <c r="A70" s="11" t="s">
        <v>154</v>
      </c>
      <c r="B70" s="11" t="s">
        <v>54</v>
      </c>
      <c r="C70" s="11" t="s">
        <v>108</v>
      </c>
      <c r="D70" s="12"/>
    </row>
    <row r="71" ht="43" customHeight="1" spans="1:13">
      <c r="A71" s="13" t="s">
        <v>155</v>
      </c>
      <c r="B71" s="13">
        <v>4.4</v>
      </c>
      <c r="C71" s="14" t="s">
        <v>169</v>
      </c>
      <c r="D71" s="14"/>
    </row>
    <row r="72" ht="28" customHeight="1" spans="1:13">
      <c r="A72" s="13" t="s">
        <v>157</v>
      </c>
      <c r="B72" s="13">
        <v>2.3</v>
      </c>
      <c r="C72" s="14" t="s">
        <v>170</v>
      </c>
      <c r="D72" s="14"/>
    </row>
    <row r="73" ht="44" customHeight="1" spans="1:13">
      <c r="A73" s="13" t="s">
        <v>159</v>
      </c>
      <c r="B73" s="13">
        <v>4.9</v>
      </c>
      <c r="C73" s="14" t="s">
        <v>171</v>
      </c>
      <c r="D73" s="14"/>
    </row>
    <row r="74" ht="28" customHeight="1" spans="1:13">
      <c r="A74" s="13" t="s">
        <v>161</v>
      </c>
      <c r="B74" s="13">
        <v>3.9</v>
      </c>
      <c r="C74" s="14" t="s">
        <v>172</v>
      </c>
      <c r="D74" s="14"/>
    </row>
    <row r="75" ht="28" customHeight="1" spans="1:13">
      <c r="A75" s="13" t="s">
        <v>163</v>
      </c>
      <c r="B75" s="13">
        <v>3</v>
      </c>
      <c r="C75" s="16" t="s">
        <v>173</v>
      </c>
      <c r="D75" s="16"/>
    </row>
    <row r="76" spans="1:13">
      <c r="A76" s="13" t="s">
        <v>165</v>
      </c>
      <c r="B76" s="13">
        <f>AVERAGE(B71:B75)</f>
        <v>3.7</v>
      </c>
      <c r="C76" s="16"/>
      <c r="D76" s="16"/>
    </row>
  </sheetData>
  <mergeCells count="23">
    <mergeCell ref="A1:B1"/>
    <mergeCell ref="A16:D16"/>
    <mergeCell ref="A17:D17"/>
    <mergeCell ref="A18:B18"/>
    <mergeCell ref="A28:D28"/>
    <mergeCell ref="A29:D29"/>
    <mergeCell ref="A31:B31"/>
    <mergeCell ref="A43:D43"/>
    <mergeCell ref="A44:D44"/>
    <mergeCell ref="B45:K45"/>
    <mergeCell ref="A46:B46"/>
    <mergeCell ref="A56:D56"/>
    <mergeCell ref="A57:D57"/>
    <mergeCell ref="A58:B58"/>
    <mergeCell ref="A66:D66"/>
    <mergeCell ref="A67:D67"/>
    <mergeCell ref="C70:D70"/>
    <mergeCell ref="C71:D71"/>
    <mergeCell ref="C72:D72"/>
    <mergeCell ref="C73:D73"/>
    <mergeCell ref="C74:D74"/>
    <mergeCell ref="C75:D75"/>
    <mergeCell ref="C76:D7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opLeftCell="A62" workbookViewId="0">
      <selection activeCell="B79" sqref="B79"/>
    </sheetView>
  </sheetViews>
  <sheetFormatPr defaultColWidth="9" defaultRowHeight="13.5"/>
  <cols>
    <col min="2" max="4" width="27.7433628318584" customWidth="1"/>
    <col min="5" max="13" width="11.1238938053097"/>
  </cols>
  <sheetData>
    <row r="1" ht="14.25" spans="1:13">
      <c r="A1" s="1" t="s">
        <v>166</v>
      </c>
      <c r="B1" s="2"/>
      <c r="C1" s="2"/>
      <c r="D1" s="2"/>
    </row>
    <row r="2" ht="15" spans="1:13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33" customHeight="1" spans="1:13">
      <c r="A3" s="5">
        <v>1</v>
      </c>
      <c r="B3" s="6" t="s">
        <v>14</v>
      </c>
      <c r="C3" s="6" t="s">
        <v>15</v>
      </c>
      <c r="D3" s="6" t="s">
        <v>16</v>
      </c>
      <c r="E3" s="5">
        <v>6</v>
      </c>
      <c r="F3" s="5">
        <v>8</v>
      </c>
      <c r="G3" s="5">
        <v>10</v>
      </c>
      <c r="H3" s="5">
        <v>5</v>
      </c>
      <c r="I3" s="5">
        <v>4</v>
      </c>
      <c r="J3" s="5">
        <v>6</v>
      </c>
      <c r="K3" s="5">
        <v>1</v>
      </c>
      <c r="L3" s="5">
        <f t="shared" ref="L3:L17" si="0">SUM(E3:K3)</f>
        <v>40</v>
      </c>
      <c r="M3" s="5">
        <f>L3/7</f>
        <v>5.71428571428571</v>
      </c>
    </row>
    <row r="4" ht="33" customHeight="1" spans="1:13">
      <c r="A4" s="5">
        <v>2</v>
      </c>
      <c r="B4" s="6" t="s">
        <v>17</v>
      </c>
      <c r="C4" s="6" t="s">
        <v>18</v>
      </c>
      <c r="D4" s="6" t="s">
        <v>19</v>
      </c>
      <c r="E4" s="5">
        <v>3</v>
      </c>
      <c r="F4" s="5">
        <v>9</v>
      </c>
      <c r="G4" s="5">
        <v>1</v>
      </c>
      <c r="H4" s="5">
        <v>4</v>
      </c>
      <c r="I4" s="5">
        <v>3</v>
      </c>
      <c r="J4" s="5">
        <v>6</v>
      </c>
      <c r="K4" s="5">
        <v>2</v>
      </c>
      <c r="L4" s="5">
        <f t="shared" si="0"/>
        <v>28</v>
      </c>
      <c r="M4" s="5">
        <f t="shared" ref="M4:M17" si="1">L4/7</f>
        <v>4</v>
      </c>
    </row>
    <row r="5" ht="33" customHeight="1" spans="1:13">
      <c r="A5" s="5">
        <v>3</v>
      </c>
      <c r="B5" s="6" t="s">
        <v>20</v>
      </c>
      <c r="C5" s="6" t="s">
        <v>21</v>
      </c>
      <c r="D5" s="6" t="s">
        <v>22</v>
      </c>
      <c r="E5" s="5">
        <v>1</v>
      </c>
      <c r="F5" s="5">
        <v>7</v>
      </c>
      <c r="G5" s="5">
        <v>8</v>
      </c>
      <c r="H5" s="5">
        <v>8</v>
      </c>
      <c r="I5" s="5">
        <v>3</v>
      </c>
      <c r="J5" s="5">
        <v>3</v>
      </c>
      <c r="K5" s="5">
        <v>3</v>
      </c>
      <c r="L5" s="5">
        <f t="shared" si="0"/>
        <v>33</v>
      </c>
      <c r="M5" s="5">
        <f t="shared" si="1"/>
        <v>4.71428571428571</v>
      </c>
    </row>
    <row r="6" ht="33" customHeight="1" spans="1:13">
      <c r="A6" s="5">
        <v>4</v>
      </c>
      <c r="B6" s="6" t="s">
        <v>23</v>
      </c>
      <c r="C6" s="6" t="s">
        <v>24</v>
      </c>
      <c r="D6" s="6" t="s">
        <v>25</v>
      </c>
      <c r="E6" s="5">
        <v>4</v>
      </c>
      <c r="F6" s="5">
        <v>6</v>
      </c>
      <c r="G6" s="5">
        <v>7</v>
      </c>
      <c r="H6" s="5">
        <v>8</v>
      </c>
      <c r="I6" s="5">
        <v>3</v>
      </c>
      <c r="J6" s="5">
        <v>4</v>
      </c>
      <c r="K6" s="5">
        <v>5</v>
      </c>
      <c r="L6" s="5">
        <f t="shared" si="0"/>
        <v>37</v>
      </c>
      <c r="M6" s="5">
        <f t="shared" si="1"/>
        <v>5.28571428571429</v>
      </c>
    </row>
    <row r="7" ht="33" customHeight="1" spans="1:13">
      <c r="A7" s="5">
        <v>5</v>
      </c>
      <c r="B7" s="6" t="s">
        <v>26</v>
      </c>
      <c r="C7" s="6" t="s">
        <v>27</v>
      </c>
      <c r="D7" s="6" t="s">
        <v>28</v>
      </c>
      <c r="E7" s="5">
        <v>4</v>
      </c>
      <c r="F7" s="5">
        <v>5</v>
      </c>
      <c r="G7" s="5">
        <v>10</v>
      </c>
      <c r="H7" s="5">
        <v>5</v>
      </c>
      <c r="I7" s="5">
        <v>1</v>
      </c>
      <c r="J7" s="5">
        <v>2</v>
      </c>
      <c r="K7" s="5">
        <v>1</v>
      </c>
      <c r="L7" s="5">
        <f t="shared" si="0"/>
        <v>28</v>
      </c>
      <c r="M7" s="5">
        <f t="shared" si="1"/>
        <v>4</v>
      </c>
    </row>
    <row r="8" ht="33" customHeight="1" spans="1:13">
      <c r="A8" s="5">
        <v>6</v>
      </c>
      <c r="B8" s="6" t="s">
        <v>29</v>
      </c>
      <c r="C8" s="6" t="s">
        <v>30</v>
      </c>
      <c r="D8" s="6" t="s">
        <v>31</v>
      </c>
      <c r="E8" s="5">
        <v>3</v>
      </c>
      <c r="F8" s="5">
        <v>5</v>
      </c>
      <c r="G8" s="5">
        <v>8</v>
      </c>
      <c r="H8" s="5">
        <v>5</v>
      </c>
      <c r="I8" s="5">
        <v>6</v>
      </c>
      <c r="J8" s="5">
        <v>7</v>
      </c>
      <c r="K8" s="5">
        <v>1</v>
      </c>
      <c r="L8" s="5">
        <f t="shared" si="0"/>
        <v>35</v>
      </c>
      <c r="M8" s="5">
        <f t="shared" si="1"/>
        <v>5</v>
      </c>
    </row>
    <row r="9" ht="33" customHeight="1" spans="1:13">
      <c r="A9" s="5">
        <v>7</v>
      </c>
      <c r="B9" s="6" t="s">
        <v>32</v>
      </c>
      <c r="C9" s="6" t="s">
        <v>33</v>
      </c>
      <c r="D9" s="6" t="s">
        <v>34</v>
      </c>
      <c r="E9" s="5">
        <v>3</v>
      </c>
      <c r="F9" s="5">
        <v>6</v>
      </c>
      <c r="G9" s="5">
        <v>9</v>
      </c>
      <c r="H9" s="5">
        <v>7</v>
      </c>
      <c r="I9" s="5">
        <v>1</v>
      </c>
      <c r="J9" s="5">
        <v>2</v>
      </c>
      <c r="K9" s="5">
        <v>1</v>
      </c>
      <c r="L9" s="5">
        <f t="shared" si="0"/>
        <v>29</v>
      </c>
      <c r="M9" s="5">
        <f t="shared" si="1"/>
        <v>4.14285714285714</v>
      </c>
    </row>
    <row r="10" ht="33" customHeight="1" spans="1:13">
      <c r="A10" s="5">
        <v>8</v>
      </c>
      <c r="B10" s="6" t="s">
        <v>35</v>
      </c>
      <c r="C10" s="6" t="s">
        <v>36</v>
      </c>
      <c r="D10" s="6" t="s">
        <v>37</v>
      </c>
      <c r="E10" s="5">
        <v>8</v>
      </c>
      <c r="F10" s="5">
        <v>7</v>
      </c>
      <c r="G10" s="5">
        <v>7</v>
      </c>
      <c r="H10" s="5">
        <v>8</v>
      </c>
      <c r="I10" s="5">
        <v>5</v>
      </c>
      <c r="J10" s="5">
        <v>7</v>
      </c>
      <c r="K10" s="5">
        <v>3</v>
      </c>
      <c r="L10" s="5">
        <f t="shared" si="0"/>
        <v>45</v>
      </c>
      <c r="M10" s="5">
        <f t="shared" si="1"/>
        <v>6.42857142857143</v>
      </c>
    </row>
    <row r="11" ht="33" customHeight="1" spans="1:13">
      <c r="A11" s="5">
        <v>9</v>
      </c>
      <c r="B11" s="6" t="s">
        <v>38</v>
      </c>
      <c r="C11" s="6" t="s">
        <v>39</v>
      </c>
      <c r="D11" s="6" t="s">
        <v>40</v>
      </c>
      <c r="E11" s="5">
        <v>4</v>
      </c>
      <c r="F11" s="5">
        <v>8</v>
      </c>
      <c r="G11" s="5">
        <v>10</v>
      </c>
      <c r="H11" s="5">
        <v>3</v>
      </c>
      <c r="I11" s="5">
        <v>8</v>
      </c>
      <c r="J11" s="5">
        <v>6</v>
      </c>
      <c r="K11" s="5">
        <v>7</v>
      </c>
      <c r="L11" s="5">
        <f t="shared" si="0"/>
        <v>46</v>
      </c>
      <c r="M11" s="5">
        <f t="shared" si="1"/>
        <v>6.57142857142857</v>
      </c>
    </row>
    <row r="12" ht="33" customHeight="1" spans="1:13">
      <c r="A12" s="5">
        <v>10</v>
      </c>
      <c r="B12" s="6" t="s">
        <v>41</v>
      </c>
      <c r="C12" s="6" t="s">
        <v>42</v>
      </c>
      <c r="D12" s="6" t="s">
        <v>43</v>
      </c>
      <c r="E12" s="5">
        <v>8</v>
      </c>
      <c r="F12" s="5">
        <v>9</v>
      </c>
      <c r="G12" s="5">
        <v>8</v>
      </c>
      <c r="H12" s="5">
        <v>2</v>
      </c>
      <c r="I12" s="5">
        <v>1</v>
      </c>
      <c r="J12" s="5">
        <v>1</v>
      </c>
      <c r="K12" s="5">
        <v>6</v>
      </c>
      <c r="L12" s="5">
        <f t="shared" si="0"/>
        <v>35</v>
      </c>
      <c r="M12" s="5">
        <f t="shared" si="1"/>
        <v>5</v>
      </c>
    </row>
    <row r="13" ht="33" customHeight="1" spans="1:13">
      <c r="A13" s="5">
        <v>11</v>
      </c>
      <c r="B13" s="6" t="s">
        <v>44</v>
      </c>
      <c r="C13" s="6" t="s">
        <v>45</v>
      </c>
      <c r="D13" s="6" t="s">
        <v>46</v>
      </c>
      <c r="E13" s="5">
        <v>4</v>
      </c>
      <c r="F13" s="5">
        <v>3</v>
      </c>
      <c r="G13" s="5">
        <v>10</v>
      </c>
      <c r="H13" s="5">
        <v>4</v>
      </c>
      <c r="I13" s="5">
        <v>4</v>
      </c>
      <c r="J13" s="5">
        <v>7</v>
      </c>
      <c r="K13" s="5">
        <v>4</v>
      </c>
      <c r="L13" s="5">
        <f t="shared" si="0"/>
        <v>36</v>
      </c>
      <c r="M13" s="5">
        <f t="shared" si="1"/>
        <v>5.14285714285714</v>
      </c>
    </row>
    <row r="14" ht="33" customHeight="1" spans="1:13">
      <c r="A14" s="5">
        <v>12</v>
      </c>
      <c r="B14" s="6" t="s">
        <v>47</v>
      </c>
      <c r="C14" s="6" t="s">
        <v>48</v>
      </c>
      <c r="D14" s="6" t="s">
        <v>49</v>
      </c>
      <c r="E14" s="5">
        <v>1</v>
      </c>
      <c r="F14" s="5">
        <v>4</v>
      </c>
      <c r="G14" s="5">
        <v>1</v>
      </c>
      <c r="H14" s="5">
        <v>3</v>
      </c>
      <c r="I14" s="5">
        <v>1</v>
      </c>
      <c r="J14" s="5">
        <v>2</v>
      </c>
      <c r="K14" s="5">
        <v>1</v>
      </c>
      <c r="L14" s="5">
        <f t="shared" si="0"/>
        <v>13</v>
      </c>
      <c r="M14" s="5">
        <f t="shared" si="1"/>
        <v>1.85714285714286</v>
      </c>
    </row>
    <row r="15" ht="33" customHeight="1" spans="1:13">
      <c r="A15" s="5">
        <v>13</v>
      </c>
      <c r="B15" s="6" t="s">
        <v>50</v>
      </c>
      <c r="C15" s="6" t="s">
        <v>51</v>
      </c>
      <c r="D15" s="6" t="s">
        <v>52</v>
      </c>
      <c r="E15" s="5">
        <v>1</v>
      </c>
      <c r="F15" s="5">
        <v>5</v>
      </c>
      <c r="G15" s="5">
        <v>1</v>
      </c>
      <c r="H15" s="5">
        <v>2</v>
      </c>
      <c r="I15" s="5">
        <v>1</v>
      </c>
      <c r="J15" s="5">
        <v>2</v>
      </c>
      <c r="K15" s="5">
        <v>1</v>
      </c>
      <c r="L15" s="5">
        <f t="shared" si="0"/>
        <v>13</v>
      </c>
      <c r="M15" s="5">
        <f t="shared" si="1"/>
        <v>1.85714285714286</v>
      </c>
    </row>
    <row r="16" ht="16.5" customHeight="1" spans="1:13">
      <c r="A16" s="7" t="s">
        <v>53</v>
      </c>
      <c r="B16" s="7"/>
      <c r="C16" s="7"/>
      <c r="D16" s="7"/>
      <c r="E16" s="5">
        <f>SUM(E3:E15)</f>
        <v>50</v>
      </c>
      <c r="F16" s="5">
        <f t="shared" ref="F16:K16" si="2">SUM(F3:F15)</f>
        <v>82</v>
      </c>
      <c r="G16" s="5">
        <f t="shared" si="2"/>
        <v>90</v>
      </c>
      <c r="H16" s="5">
        <f t="shared" si="2"/>
        <v>64</v>
      </c>
      <c r="I16" s="5">
        <f t="shared" si="2"/>
        <v>41</v>
      </c>
      <c r="J16" s="5">
        <f t="shared" si="2"/>
        <v>55</v>
      </c>
      <c r="K16" s="5">
        <f t="shared" si="2"/>
        <v>36</v>
      </c>
      <c r="L16" s="5">
        <f t="shared" si="0"/>
        <v>418</v>
      </c>
      <c r="M16" s="5">
        <f t="shared" si="1"/>
        <v>59.7142857142857</v>
      </c>
    </row>
    <row r="17" ht="16.5" customHeight="1" spans="1:13">
      <c r="A17" s="7" t="s">
        <v>54</v>
      </c>
      <c r="B17" s="7"/>
      <c r="C17" s="7"/>
      <c r="D17" s="7"/>
      <c r="E17" s="5">
        <f>E16/13</f>
        <v>3.84615384615385</v>
      </c>
      <c r="F17" s="5">
        <f t="shared" ref="F17:K17" si="3">F16/13</f>
        <v>6.30769230769231</v>
      </c>
      <c r="G17" s="5">
        <f t="shared" si="3"/>
        <v>6.92307692307692</v>
      </c>
      <c r="H17" s="5">
        <f t="shared" si="3"/>
        <v>4.92307692307692</v>
      </c>
      <c r="I17" s="5">
        <f t="shared" si="3"/>
        <v>3.15384615384615</v>
      </c>
      <c r="J17" s="5">
        <f t="shared" si="3"/>
        <v>4.23076923076923</v>
      </c>
      <c r="K17" s="5">
        <f t="shared" si="3"/>
        <v>2.76923076923077</v>
      </c>
      <c r="L17" s="5">
        <f t="shared" si="0"/>
        <v>32.1538461538462</v>
      </c>
      <c r="M17" s="5">
        <f t="shared" si="1"/>
        <v>4.59340659340659</v>
      </c>
    </row>
    <row r="18" ht="15" spans="1:13">
      <c r="A18" s="8" t="s">
        <v>167</v>
      </c>
      <c r="B18" s="8"/>
    </row>
    <row r="19" ht="15" spans="1:13">
      <c r="A19" s="3" t="s">
        <v>1</v>
      </c>
      <c r="B19" s="3" t="s">
        <v>2</v>
      </c>
      <c r="C19" s="4" t="s">
        <v>3</v>
      </c>
      <c r="D19" s="4" t="s">
        <v>4</v>
      </c>
      <c r="E19" s="3" t="s">
        <v>168</v>
      </c>
      <c r="F19" s="3"/>
      <c r="G19" s="3"/>
      <c r="H19" s="3"/>
      <c r="I19" s="3"/>
      <c r="J19" s="3"/>
      <c r="K19" s="3"/>
      <c r="L19" s="3"/>
      <c r="M19" s="3"/>
    </row>
    <row r="20" ht="34" customHeight="1" spans="1:13">
      <c r="A20" s="5">
        <v>1</v>
      </c>
      <c r="B20" s="6" t="s">
        <v>57</v>
      </c>
      <c r="C20" s="6" t="s">
        <v>58</v>
      </c>
      <c r="D20" s="6" t="s">
        <v>59</v>
      </c>
      <c r="E20" s="5">
        <v>1</v>
      </c>
      <c r="F20" s="5">
        <v>9</v>
      </c>
      <c r="G20" s="5">
        <v>1</v>
      </c>
      <c r="H20" s="5">
        <v>2</v>
      </c>
      <c r="I20" s="5">
        <v>1</v>
      </c>
      <c r="J20" s="5">
        <v>1</v>
      </c>
      <c r="K20" s="5">
        <v>1</v>
      </c>
      <c r="L20" s="5">
        <f>SUM(E20:K20)</f>
        <v>16</v>
      </c>
      <c r="M20" s="5">
        <f>L20/7</f>
        <v>2.28571428571429</v>
      </c>
    </row>
    <row r="21" ht="34" customHeight="1" spans="1:13">
      <c r="A21" s="5">
        <v>2</v>
      </c>
      <c r="B21" s="6" t="s">
        <v>60</v>
      </c>
      <c r="C21" s="6" t="s">
        <v>61</v>
      </c>
      <c r="D21" s="6" t="s">
        <v>62</v>
      </c>
      <c r="E21" s="5">
        <v>10</v>
      </c>
      <c r="F21" s="5">
        <v>8</v>
      </c>
      <c r="G21" s="5">
        <v>10</v>
      </c>
      <c r="H21" s="5">
        <v>3</v>
      </c>
      <c r="I21" s="5">
        <v>2</v>
      </c>
      <c r="J21" s="5">
        <v>6</v>
      </c>
      <c r="K21" s="5">
        <v>2</v>
      </c>
      <c r="L21" s="5">
        <f t="shared" ref="L21:L29" si="4">SUM(E21:K21)</f>
        <v>41</v>
      </c>
      <c r="M21" s="5">
        <f t="shared" ref="M21:M29" si="5">L21/7</f>
        <v>5.85714285714286</v>
      </c>
    </row>
    <row r="22" ht="34" customHeight="1" spans="1:13">
      <c r="A22" s="5">
        <v>3</v>
      </c>
      <c r="B22" s="6" t="s">
        <v>63</v>
      </c>
      <c r="C22" s="6" t="s">
        <v>64</v>
      </c>
      <c r="D22" s="6" t="s">
        <v>65</v>
      </c>
      <c r="E22" s="5">
        <v>1</v>
      </c>
      <c r="F22" s="5">
        <v>7</v>
      </c>
      <c r="G22" s="5">
        <v>10</v>
      </c>
      <c r="H22" s="5">
        <v>4</v>
      </c>
      <c r="I22" s="5">
        <v>2</v>
      </c>
      <c r="J22" s="5">
        <v>2</v>
      </c>
      <c r="K22" s="5">
        <v>1</v>
      </c>
      <c r="L22" s="5">
        <f t="shared" si="4"/>
        <v>27</v>
      </c>
      <c r="M22" s="5">
        <f t="shared" si="5"/>
        <v>3.85714285714286</v>
      </c>
    </row>
    <row r="23" ht="34" customHeight="1" spans="1:13">
      <c r="A23" s="5">
        <v>4</v>
      </c>
      <c r="B23" s="6" t="s">
        <v>66</v>
      </c>
      <c r="C23" s="6" t="s">
        <v>67</v>
      </c>
      <c r="D23" s="6" t="s">
        <v>68</v>
      </c>
      <c r="E23" s="5">
        <v>10</v>
      </c>
      <c r="F23" s="5">
        <v>7</v>
      </c>
      <c r="G23" s="5">
        <v>5</v>
      </c>
      <c r="H23" s="5">
        <v>5</v>
      </c>
      <c r="I23" s="5">
        <v>1</v>
      </c>
      <c r="J23" s="5">
        <v>7</v>
      </c>
      <c r="K23" s="5">
        <v>8</v>
      </c>
      <c r="L23" s="5">
        <f t="shared" si="4"/>
        <v>43</v>
      </c>
      <c r="M23" s="5">
        <f t="shared" si="5"/>
        <v>6.14285714285714</v>
      </c>
    </row>
    <row r="24" ht="34" customHeight="1" spans="1:13">
      <c r="A24" s="5">
        <v>5</v>
      </c>
      <c r="B24" s="6" t="s">
        <v>69</v>
      </c>
      <c r="C24" s="6" t="s">
        <v>64</v>
      </c>
      <c r="D24" s="6" t="s">
        <v>70</v>
      </c>
      <c r="E24" s="5">
        <v>4</v>
      </c>
      <c r="F24" s="5">
        <v>6</v>
      </c>
      <c r="G24" s="5">
        <v>6</v>
      </c>
      <c r="H24" s="5">
        <v>6</v>
      </c>
      <c r="I24" s="5">
        <v>2</v>
      </c>
      <c r="J24" s="5">
        <v>7</v>
      </c>
      <c r="K24" s="5">
        <v>9</v>
      </c>
      <c r="L24" s="5">
        <f t="shared" si="4"/>
        <v>40</v>
      </c>
      <c r="M24" s="5">
        <f t="shared" si="5"/>
        <v>5.71428571428571</v>
      </c>
    </row>
    <row r="25" ht="34" customHeight="1" spans="1:13">
      <c r="A25" s="5">
        <v>6</v>
      </c>
      <c r="B25" s="6" t="s">
        <v>71</v>
      </c>
      <c r="C25" s="6" t="s">
        <v>72</v>
      </c>
      <c r="D25" s="6" t="s">
        <v>73</v>
      </c>
      <c r="E25" s="5">
        <v>1</v>
      </c>
      <c r="F25" s="5">
        <v>6</v>
      </c>
      <c r="G25" s="5">
        <v>4</v>
      </c>
      <c r="H25" s="5">
        <v>5</v>
      </c>
      <c r="I25" s="5">
        <v>8</v>
      </c>
      <c r="J25" s="5">
        <v>7</v>
      </c>
      <c r="K25" s="5">
        <v>1</v>
      </c>
      <c r="L25" s="5">
        <f t="shared" si="4"/>
        <v>32</v>
      </c>
      <c r="M25" s="5">
        <f t="shared" si="5"/>
        <v>4.57142857142857</v>
      </c>
    </row>
    <row r="26" ht="34" customHeight="1" spans="1:13">
      <c r="A26" s="5">
        <v>7</v>
      </c>
      <c r="B26" s="6" t="s">
        <v>74</v>
      </c>
      <c r="C26" s="6" t="s">
        <v>58</v>
      </c>
      <c r="D26" s="6" t="s">
        <v>75</v>
      </c>
      <c r="E26" s="5">
        <v>10</v>
      </c>
      <c r="F26" s="5">
        <v>5</v>
      </c>
      <c r="G26" s="5">
        <v>7</v>
      </c>
      <c r="H26" s="5">
        <v>2</v>
      </c>
      <c r="I26" s="5">
        <v>3</v>
      </c>
      <c r="J26" s="5">
        <v>7</v>
      </c>
      <c r="K26" s="5">
        <v>7</v>
      </c>
      <c r="L26" s="5">
        <f t="shared" si="4"/>
        <v>41</v>
      </c>
      <c r="M26" s="5">
        <f t="shared" si="5"/>
        <v>5.85714285714286</v>
      </c>
    </row>
    <row r="27" ht="34" customHeight="1" spans="1:13">
      <c r="A27" s="5">
        <v>8</v>
      </c>
      <c r="B27" s="6" t="s">
        <v>76</v>
      </c>
      <c r="C27" s="6" t="s">
        <v>77</v>
      </c>
      <c r="D27" s="6" t="s">
        <v>78</v>
      </c>
      <c r="E27" s="5">
        <v>10</v>
      </c>
      <c r="F27" s="5">
        <v>5</v>
      </c>
      <c r="G27" s="5">
        <v>10</v>
      </c>
      <c r="H27" s="5">
        <v>1</v>
      </c>
      <c r="I27" s="5">
        <v>1</v>
      </c>
      <c r="J27" s="5">
        <v>1</v>
      </c>
      <c r="K27" s="5">
        <v>1</v>
      </c>
      <c r="L27" s="5">
        <f t="shared" si="4"/>
        <v>29</v>
      </c>
      <c r="M27" s="5">
        <f t="shared" si="5"/>
        <v>4.14285714285714</v>
      </c>
    </row>
    <row r="28" ht="16.5" customHeight="1" spans="1:13">
      <c r="A28" s="7" t="s">
        <v>53</v>
      </c>
      <c r="B28" s="7"/>
      <c r="C28" s="7"/>
      <c r="D28" s="7"/>
      <c r="E28" s="5">
        <f t="shared" ref="E28:K28" si="6">SUM(E20:E27)</f>
        <v>47</v>
      </c>
      <c r="F28" s="5">
        <f t="shared" si="6"/>
        <v>53</v>
      </c>
      <c r="G28" s="5">
        <f t="shared" si="6"/>
        <v>53</v>
      </c>
      <c r="H28" s="5">
        <f t="shared" si="6"/>
        <v>28</v>
      </c>
      <c r="I28" s="5">
        <f t="shared" si="6"/>
        <v>20</v>
      </c>
      <c r="J28" s="5">
        <f t="shared" si="6"/>
        <v>38</v>
      </c>
      <c r="K28" s="5">
        <f t="shared" si="6"/>
        <v>30</v>
      </c>
      <c r="L28" s="5">
        <f t="shared" si="4"/>
        <v>269</v>
      </c>
      <c r="M28" s="5">
        <f t="shared" si="5"/>
        <v>38.4285714285714</v>
      </c>
    </row>
    <row r="29" ht="16.5" customHeight="1" spans="1:13">
      <c r="A29" s="7" t="s">
        <v>54</v>
      </c>
      <c r="B29" s="7"/>
      <c r="C29" s="7"/>
      <c r="D29" s="7"/>
      <c r="E29" s="5">
        <f>E28/8</f>
        <v>5.875</v>
      </c>
      <c r="F29" s="5">
        <f t="shared" ref="F29:K29" si="7">F28/8</f>
        <v>6.625</v>
      </c>
      <c r="G29" s="5">
        <f t="shared" si="7"/>
        <v>6.625</v>
      </c>
      <c r="H29" s="5">
        <f t="shared" si="7"/>
        <v>3.5</v>
      </c>
      <c r="I29" s="5">
        <f t="shared" si="7"/>
        <v>2.5</v>
      </c>
      <c r="J29" s="5">
        <f t="shared" si="7"/>
        <v>4.75</v>
      </c>
      <c r="K29" s="5">
        <f t="shared" si="7"/>
        <v>3.75</v>
      </c>
      <c r="L29" s="5">
        <f t="shared" si="4"/>
        <v>33.625</v>
      </c>
      <c r="M29" s="5">
        <f t="shared" si="5"/>
        <v>4.80357142857143</v>
      </c>
    </row>
    <row r="30" spans="1:13">
      <c r="A30" s="9" t="s">
        <v>79</v>
      </c>
    </row>
    <row r="31" ht="15" spans="1:13">
      <c r="A31" s="8" t="s">
        <v>80</v>
      </c>
      <c r="B31" s="8"/>
    </row>
    <row r="32" ht="15" spans="1:13">
      <c r="A32" s="3" t="s">
        <v>1</v>
      </c>
      <c r="B32" s="3" t="s">
        <v>2</v>
      </c>
      <c r="C32" s="4" t="s">
        <v>3</v>
      </c>
      <c r="D32" s="4" t="s">
        <v>4</v>
      </c>
      <c r="E32" s="3" t="s">
        <v>168</v>
      </c>
      <c r="F32" s="3"/>
      <c r="G32" s="3"/>
      <c r="H32" s="3"/>
      <c r="I32" s="3"/>
      <c r="J32" s="3"/>
      <c r="K32" s="3"/>
      <c r="L32" s="3"/>
      <c r="M32" s="3"/>
    </row>
    <row r="33" ht="34" customHeight="1" spans="1:13">
      <c r="A33" s="5">
        <v>1</v>
      </c>
      <c r="B33" s="6" t="s">
        <v>81</v>
      </c>
      <c r="C33" s="6" t="s">
        <v>82</v>
      </c>
      <c r="D33" s="6" t="s">
        <v>83</v>
      </c>
      <c r="E33" s="5">
        <v>4</v>
      </c>
      <c r="F33" s="5">
        <v>8</v>
      </c>
      <c r="G33" s="5">
        <v>8</v>
      </c>
      <c r="H33" s="5">
        <v>4</v>
      </c>
      <c r="I33" s="5">
        <v>5</v>
      </c>
      <c r="J33" s="5">
        <v>3</v>
      </c>
      <c r="K33" s="5">
        <v>1</v>
      </c>
      <c r="L33" s="5">
        <f>SUM(E33:K33)</f>
        <v>33</v>
      </c>
      <c r="M33" s="5">
        <f>L33/7</f>
        <v>4.71428571428571</v>
      </c>
    </row>
    <row r="34" ht="34" customHeight="1" spans="1:13">
      <c r="A34" s="5">
        <v>2</v>
      </c>
      <c r="B34" s="6" t="s">
        <v>84</v>
      </c>
      <c r="C34" s="6" t="s">
        <v>85</v>
      </c>
      <c r="D34" s="6" t="s">
        <v>86</v>
      </c>
      <c r="E34" s="5">
        <v>4</v>
      </c>
      <c r="F34" s="5">
        <v>7</v>
      </c>
      <c r="G34" s="5">
        <v>10</v>
      </c>
      <c r="H34" s="5">
        <v>3</v>
      </c>
      <c r="I34" s="5">
        <v>5</v>
      </c>
      <c r="J34" s="5">
        <v>3</v>
      </c>
      <c r="K34" s="5">
        <v>1</v>
      </c>
      <c r="L34" s="5">
        <f t="shared" ref="L34:L44" si="8">SUM(E34:K34)</f>
        <v>33</v>
      </c>
      <c r="M34" s="5">
        <f t="shared" ref="M34:M44" si="9">L34/7</f>
        <v>4.71428571428571</v>
      </c>
    </row>
    <row r="35" ht="34" customHeight="1" spans="1:13">
      <c r="A35" s="5">
        <v>3</v>
      </c>
      <c r="B35" s="6" t="s">
        <v>87</v>
      </c>
      <c r="C35" s="6" t="s">
        <v>88</v>
      </c>
      <c r="D35" s="6" t="s">
        <v>89</v>
      </c>
      <c r="E35" s="5">
        <v>1</v>
      </c>
      <c r="F35" s="5">
        <v>6</v>
      </c>
      <c r="G35" s="5">
        <v>9</v>
      </c>
      <c r="H35" s="5">
        <v>4</v>
      </c>
      <c r="I35" s="5">
        <v>9</v>
      </c>
      <c r="J35" s="5">
        <v>2</v>
      </c>
      <c r="K35" s="5">
        <v>1</v>
      </c>
      <c r="L35" s="5">
        <f t="shared" si="8"/>
        <v>32</v>
      </c>
      <c r="M35" s="5">
        <f t="shared" si="9"/>
        <v>4.57142857142857</v>
      </c>
    </row>
    <row r="36" ht="34" customHeight="1" spans="1:13">
      <c r="A36" s="5">
        <v>4</v>
      </c>
      <c r="B36" s="6" t="s">
        <v>90</v>
      </c>
      <c r="C36" s="6" t="s">
        <v>91</v>
      </c>
      <c r="D36" s="6" t="s">
        <v>92</v>
      </c>
      <c r="E36" s="5">
        <v>1</v>
      </c>
      <c r="F36" s="5">
        <v>5</v>
      </c>
      <c r="G36" s="5">
        <v>8</v>
      </c>
      <c r="H36" s="5">
        <v>3</v>
      </c>
      <c r="I36" s="5">
        <v>7</v>
      </c>
      <c r="J36" s="5">
        <v>2</v>
      </c>
      <c r="K36" s="5">
        <v>1</v>
      </c>
      <c r="L36" s="5">
        <f t="shared" si="8"/>
        <v>27</v>
      </c>
      <c r="M36" s="5">
        <f t="shared" si="9"/>
        <v>3.85714285714286</v>
      </c>
    </row>
    <row r="37" ht="34" customHeight="1" spans="1:13">
      <c r="A37" s="5">
        <v>5</v>
      </c>
      <c r="B37" s="6" t="s">
        <v>93</v>
      </c>
      <c r="C37" s="6" t="s">
        <v>94</v>
      </c>
      <c r="D37" s="6" t="s">
        <v>95</v>
      </c>
      <c r="E37" s="5">
        <v>1</v>
      </c>
      <c r="F37" s="5">
        <v>3</v>
      </c>
      <c r="G37" s="5">
        <v>7</v>
      </c>
      <c r="H37" s="5">
        <v>2</v>
      </c>
      <c r="I37" s="5">
        <v>9</v>
      </c>
      <c r="J37" s="5">
        <v>7</v>
      </c>
      <c r="K37" s="5">
        <v>1</v>
      </c>
      <c r="L37" s="5">
        <f t="shared" si="8"/>
        <v>30</v>
      </c>
      <c r="M37" s="5">
        <f t="shared" si="9"/>
        <v>4.28571428571429</v>
      </c>
    </row>
    <row r="38" ht="34" customHeight="1" spans="1:13">
      <c r="A38" s="5">
        <v>6</v>
      </c>
      <c r="B38" s="6" t="s">
        <v>96</v>
      </c>
      <c r="C38" s="6" t="s">
        <v>97</v>
      </c>
      <c r="D38" s="6" t="s">
        <v>98</v>
      </c>
      <c r="E38" s="5">
        <v>1</v>
      </c>
      <c r="F38" s="5">
        <v>4</v>
      </c>
      <c r="G38" s="5">
        <v>10</v>
      </c>
      <c r="H38" s="5">
        <v>2</v>
      </c>
      <c r="I38" s="5">
        <v>5</v>
      </c>
      <c r="J38" s="5">
        <v>2</v>
      </c>
      <c r="K38" s="5">
        <v>2</v>
      </c>
      <c r="L38" s="5">
        <f t="shared" si="8"/>
        <v>26</v>
      </c>
      <c r="M38" s="5">
        <f t="shared" si="9"/>
        <v>3.71428571428571</v>
      </c>
    </row>
    <row r="39" ht="34" customHeight="1" spans="1:13">
      <c r="A39" s="5">
        <v>7</v>
      </c>
      <c r="B39" s="6" t="s">
        <v>99</v>
      </c>
      <c r="C39" s="6" t="s">
        <v>100</v>
      </c>
      <c r="D39" s="6" t="s">
        <v>101</v>
      </c>
      <c r="E39" s="5">
        <v>1</v>
      </c>
      <c r="F39" s="5">
        <v>4</v>
      </c>
      <c r="G39" s="5">
        <v>1</v>
      </c>
      <c r="H39" s="5">
        <v>1</v>
      </c>
      <c r="I39" s="5">
        <v>1</v>
      </c>
      <c r="J39" s="5">
        <v>2</v>
      </c>
      <c r="K39" s="5">
        <v>1</v>
      </c>
      <c r="L39" s="5">
        <f t="shared" si="8"/>
        <v>11</v>
      </c>
      <c r="M39" s="5">
        <f t="shared" si="9"/>
        <v>1.57142857142857</v>
      </c>
    </row>
    <row r="40" ht="34" customHeight="1" spans="1:13">
      <c r="A40" s="5">
        <v>8</v>
      </c>
      <c r="B40" s="6" t="s">
        <v>102</v>
      </c>
      <c r="C40" s="6" t="s">
        <v>103</v>
      </c>
      <c r="D40" s="6" t="s">
        <v>104</v>
      </c>
      <c r="E40" s="5">
        <v>1</v>
      </c>
      <c r="F40" s="5">
        <v>5</v>
      </c>
      <c r="G40" s="5">
        <v>7</v>
      </c>
      <c r="H40" s="5">
        <v>1</v>
      </c>
      <c r="I40" s="5">
        <v>7</v>
      </c>
      <c r="J40" s="5">
        <v>1</v>
      </c>
      <c r="K40" s="5">
        <v>1</v>
      </c>
      <c r="L40" s="5">
        <f t="shared" si="8"/>
        <v>23</v>
      </c>
      <c r="M40" s="5">
        <f t="shared" si="9"/>
        <v>3.28571428571429</v>
      </c>
    </row>
    <row r="41" ht="34" customHeight="1" spans="1:13">
      <c r="A41" s="5">
        <v>9</v>
      </c>
      <c r="B41" s="6" t="s">
        <v>105</v>
      </c>
      <c r="C41" s="6" t="s">
        <v>106</v>
      </c>
      <c r="D41" s="6" t="s">
        <v>107</v>
      </c>
      <c r="E41" s="5">
        <v>1</v>
      </c>
      <c r="F41" s="5">
        <v>6</v>
      </c>
      <c r="G41" s="5">
        <v>1</v>
      </c>
      <c r="H41" s="5">
        <v>2</v>
      </c>
      <c r="I41" s="5">
        <v>1</v>
      </c>
      <c r="J41" s="5">
        <v>2</v>
      </c>
      <c r="K41" s="5">
        <v>1</v>
      </c>
      <c r="L41" s="5">
        <f t="shared" si="8"/>
        <v>14</v>
      </c>
      <c r="M41" s="5">
        <f t="shared" si="9"/>
        <v>2</v>
      </c>
    </row>
    <row r="42" ht="34" customHeight="1" spans="1:13">
      <c r="A42" s="5">
        <v>10</v>
      </c>
      <c r="B42" s="6" t="s">
        <v>99</v>
      </c>
      <c r="C42" s="6" t="s">
        <v>100</v>
      </c>
      <c r="D42" s="6" t="s">
        <v>101</v>
      </c>
      <c r="E42" s="5">
        <v>1</v>
      </c>
      <c r="F42" s="5">
        <v>6</v>
      </c>
      <c r="G42" s="5">
        <v>10</v>
      </c>
      <c r="H42" s="5">
        <v>1</v>
      </c>
      <c r="I42" s="5">
        <v>1</v>
      </c>
      <c r="J42" s="5">
        <v>1</v>
      </c>
      <c r="K42" s="5">
        <v>1</v>
      </c>
      <c r="L42" s="5">
        <f t="shared" si="8"/>
        <v>21</v>
      </c>
      <c r="M42" s="5">
        <f t="shared" si="9"/>
        <v>3</v>
      </c>
    </row>
    <row r="43" ht="16.5" customHeight="1" spans="1:13">
      <c r="A43" s="7" t="s">
        <v>53</v>
      </c>
      <c r="B43" s="7"/>
      <c r="C43" s="7"/>
      <c r="D43" s="7"/>
      <c r="E43" s="5">
        <f>SUM(E33:E42)</f>
        <v>16</v>
      </c>
      <c r="F43" s="5">
        <f t="shared" ref="F43:K43" si="10">SUM(F33:F42)</f>
        <v>54</v>
      </c>
      <c r="G43" s="5">
        <f t="shared" si="10"/>
        <v>71</v>
      </c>
      <c r="H43" s="5">
        <f t="shared" si="10"/>
        <v>23</v>
      </c>
      <c r="I43" s="5">
        <f t="shared" si="10"/>
        <v>50</v>
      </c>
      <c r="J43" s="5">
        <f t="shared" si="10"/>
        <v>25</v>
      </c>
      <c r="K43" s="5">
        <f t="shared" si="10"/>
        <v>11</v>
      </c>
      <c r="L43" s="5">
        <f t="shared" si="8"/>
        <v>250</v>
      </c>
      <c r="M43" s="5">
        <f t="shared" si="9"/>
        <v>35.7142857142857</v>
      </c>
    </row>
    <row r="44" ht="16.5" customHeight="1" spans="1:13">
      <c r="A44" s="7" t="s">
        <v>54</v>
      </c>
      <c r="B44" s="7"/>
      <c r="C44" s="7"/>
      <c r="D44" s="7"/>
      <c r="E44" s="5">
        <f>E43/10</f>
        <v>1.6</v>
      </c>
      <c r="F44" s="5">
        <f t="shared" ref="F44:K44" si="11">F43/10</f>
        <v>5.4</v>
      </c>
      <c r="G44" s="5">
        <f t="shared" si="11"/>
        <v>7.1</v>
      </c>
      <c r="H44" s="5">
        <f t="shared" si="11"/>
        <v>2.3</v>
      </c>
      <c r="I44" s="5">
        <f t="shared" si="11"/>
        <v>5</v>
      </c>
      <c r="J44" s="5">
        <f t="shared" si="11"/>
        <v>2.5</v>
      </c>
      <c r="K44" s="5">
        <f t="shared" si="11"/>
        <v>1.1</v>
      </c>
      <c r="L44" s="5">
        <f t="shared" si="8"/>
        <v>25</v>
      </c>
      <c r="M44" s="5">
        <f t="shared" si="9"/>
        <v>3.57142857142857</v>
      </c>
    </row>
    <row r="45" ht="44" customHeight="1" spans="1:13">
      <c r="A45" s="7" t="s">
        <v>108</v>
      </c>
      <c r="B45" s="10" t="s">
        <v>109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ht="15" spans="1:13">
      <c r="A46" s="8" t="s">
        <v>110</v>
      </c>
      <c r="B46" s="8"/>
    </row>
    <row r="47" ht="15" spans="1:13">
      <c r="A47" s="3" t="s">
        <v>1</v>
      </c>
      <c r="B47" s="3" t="s">
        <v>2</v>
      </c>
      <c r="C47" s="4" t="s">
        <v>3</v>
      </c>
      <c r="D47" s="4" t="s">
        <v>4</v>
      </c>
      <c r="E47" s="3" t="s">
        <v>168</v>
      </c>
      <c r="F47" s="3"/>
      <c r="G47" s="3"/>
      <c r="H47" s="3"/>
      <c r="I47" s="3"/>
      <c r="J47" s="3"/>
      <c r="K47" s="3"/>
      <c r="L47" s="3"/>
      <c r="M47" s="3"/>
    </row>
    <row r="48" ht="34" customHeight="1" spans="1:13">
      <c r="A48" s="5">
        <v>1</v>
      </c>
      <c r="B48" s="6" t="s">
        <v>111</v>
      </c>
      <c r="C48" s="6" t="s">
        <v>112</v>
      </c>
      <c r="D48" s="6" t="s">
        <v>113</v>
      </c>
      <c r="E48" s="5">
        <v>1</v>
      </c>
      <c r="F48" s="5">
        <v>7</v>
      </c>
      <c r="G48" s="5">
        <v>10</v>
      </c>
      <c r="H48" s="5">
        <v>10</v>
      </c>
      <c r="I48" s="5">
        <v>8</v>
      </c>
      <c r="J48" s="5">
        <v>2</v>
      </c>
      <c r="K48" s="5">
        <v>1</v>
      </c>
      <c r="L48" s="5">
        <f>SUM(E48:K48)</f>
        <v>39</v>
      </c>
      <c r="M48" s="5">
        <f>L48/7</f>
        <v>5.57142857142857</v>
      </c>
    </row>
    <row r="49" ht="34" customHeight="1" spans="1:13">
      <c r="A49" s="5">
        <v>2</v>
      </c>
      <c r="B49" s="6" t="s">
        <v>114</v>
      </c>
      <c r="C49" s="6" t="s">
        <v>115</v>
      </c>
      <c r="D49" s="6" t="s">
        <v>116</v>
      </c>
      <c r="E49" s="5">
        <v>1</v>
      </c>
      <c r="F49" s="5">
        <v>6</v>
      </c>
      <c r="G49" s="5">
        <v>8</v>
      </c>
      <c r="H49" s="5">
        <v>8</v>
      </c>
      <c r="I49" s="5">
        <v>2</v>
      </c>
      <c r="J49" s="5">
        <v>0</v>
      </c>
      <c r="K49" s="5">
        <v>1</v>
      </c>
      <c r="L49" s="5">
        <f t="shared" ref="L49:L67" si="12">SUM(E49:K49)</f>
        <v>26</v>
      </c>
      <c r="M49" s="5">
        <f t="shared" ref="M49:M67" si="13">L49/7</f>
        <v>3.71428571428571</v>
      </c>
    </row>
    <row r="50" ht="34" customHeight="1" spans="1:13">
      <c r="A50" s="5">
        <v>3</v>
      </c>
      <c r="B50" s="6" t="s">
        <v>117</v>
      </c>
      <c r="C50" s="6" t="s">
        <v>118</v>
      </c>
      <c r="D50" s="6" t="s">
        <v>119</v>
      </c>
      <c r="E50" s="5">
        <v>1</v>
      </c>
      <c r="F50" s="5">
        <v>6</v>
      </c>
      <c r="G50" s="5">
        <v>10</v>
      </c>
      <c r="H50" s="5">
        <v>5</v>
      </c>
      <c r="I50" s="5">
        <v>1</v>
      </c>
      <c r="J50" s="5">
        <v>2</v>
      </c>
      <c r="K50" s="5">
        <v>1</v>
      </c>
      <c r="L50" s="5">
        <f t="shared" si="12"/>
        <v>26</v>
      </c>
      <c r="M50" s="5">
        <f t="shared" si="13"/>
        <v>3.71428571428571</v>
      </c>
    </row>
    <row r="51" ht="34" customHeight="1" spans="1:13">
      <c r="A51" s="5">
        <v>4</v>
      </c>
      <c r="B51" s="6" t="s">
        <v>120</v>
      </c>
      <c r="C51" s="6" t="s">
        <v>121</v>
      </c>
      <c r="D51" s="6" t="s">
        <v>122</v>
      </c>
      <c r="E51" s="5">
        <v>5</v>
      </c>
      <c r="F51" s="5">
        <v>5</v>
      </c>
      <c r="G51" s="5">
        <v>9</v>
      </c>
      <c r="H51" s="5">
        <v>8</v>
      </c>
      <c r="I51" s="5">
        <v>1</v>
      </c>
      <c r="J51" s="5">
        <v>1</v>
      </c>
      <c r="K51" s="5">
        <v>1</v>
      </c>
      <c r="L51" s="5">
        <f t="shared" si="12"/>
        <v>30</v>
      </c>
      <c r="M51" s="5">
        <f t="shared" si="13"/>
        <v>4.28571428571429</v>
      </c>
    </row>
    <row r="52" ht="34" customHeight="1" spans="1:13">
      <c r="A52" s="5">
        <v>5</v>
      </c>
      <c r="B52" s="6" t="s">
        <v>123</v>
      </c>
      <c r="C52" s="6" t="s">
        <v>124</v>
      </c>
      <c r="D52" s="6" t="s">
        <v>125</v>
      </c>
      <c r="E52" s="5">
        <v>1</v>
      </c>
      <c r="F52" s="5">
        <v>6</v>
      </c>
      <c r="G52" s="5">
        <v>10</v>
      </c>
      <c r="H52" s="5">
        <v>8</v>
      </c>
      <c r="I52" s="5">
        <v>1</v>
      </c>
      <c r="J52" s="5">
        <v>1</v>
      </c>
      <c r="K52" s="5">
        <v>1</v>
      </c>
      <c r="L52" s="5">
        <f t="shared" si="12"/>
        <v>28</v>
      </c>
      <c r="M52" s="5">
        <f t="shared" si="13"/>
        <v>4</v>
      </c>
    </row>
    <row r="53" ht="34" customHeight="1" spans="1:13">
      <c r="A53" s="5">
        <v>6</v>
      </c>
      <c r="B53" s="6" t="s">
        <v>126</v>
      </c>
      <c r="C53" s="6" t="s">
        <v>127</v>
      </c>
      <c r="D53" s="6" t="s">
        <v>128</v>
      </c>
      <c r="E53" s="5">
        <v>1</v>
      </c>
      <c r="F53" s="5">
        <v>6</v>
      </c>
      <c r="G53" s="5">
        <v>10</v>
      </c>
      <c r="H53" s="5">
        <v>3</v>
      </c>
      <c r="I53" s="5">
        <v>1</v>
      </c>
      <c r="J53" s="5">
        <v>1</v>
      </c>
      <c r="K53" s="5">
        <v>1</v>
      </c>
      <c r="L53" s="5">
        <f t="shared" si="12"/>
        <v>23</v>
      </c>
      <c r="M53" s="5">
        <f t="shared" si="13"/>
        <v>3.28571428571429</v>
      </c>
    </row>
    <row r="54" ht="34" customHeight="1" spans="1:13">
      <c r="A54" s="5">
        <v>7</v>
      </c>
      <c r="B54" s="6" t="s">
        <v>129</v>
      </c>
      <c r="C54" s="6" t="s">
        <v>130</v>
      </c>
      <c r="D54" s="6" t="s">
        <v>131</v>
      </c>
      <c r="E54" s="5">
        <v>1</v>
      </c>
      <c r="F54" s="5">
        <v>5</v>
      </c>
      <c r="G54" s="5">
        <v>8</v>
      </c>
      <c r="H54" s="5">
        <v>3</v>
      </c>
      <c r="I54" s="5">
        <v>1</v>
      </c>
      <c r="J54" s="5">
        <v>1</v>
      </c>
      <c r="K54" s="5">
        <v>1</v>
      </c>
      <c r="L54" s="5">
        <f t="shared" si="12"/>
        <v>20</v>
      </c>
      <c r="M54" s="5">
        <f t="shared" si="13"/>
        <v>2.85714285714286</v>
      </c>
    </row>
    <row r="55" ht="34" customHeight="1" spans="1:13">
      <c r="A55" s="5">
        <v>8</v>
      </c>
      <c r="B55" s="6" t="s">
        <v>132</v>
      </c>
      <c r="C55" s="6" t="s">
        <v>133</v>
      </c>
      <c r="D55" s="6" t="s">
        <v>134</v>
      </c>
      <c r="E55" s="5">
        <v>1</v>
      </c>
      <c r="F55" s="5">
        <v>6</v>
      </c>
      <c r="G55" s="5">
        <v>8</v>
      </c>
      <c r="H55" s="5">
        <v>2</v>
      </c>
      <c r="I55" s="5">
        <v>9</v>
      </c>
      <c r="J55" s="5">
        <v>3</v>
      </c>
      <c r="K55" s="5">
        <v>1</v>
      </c>
      <c r="L55" s="5">
        <f t="shared" si="12"/>
        <v>30</v>
      </c>
      <c r="M55" s="5">
        <f t="shared" si="13"/>
        <v>4.28571428571429</v>
      </c>
    </row>
    <row r="56" ht="16.5" customHeight="1" spans="1:13">
      <c r="A56" s="7" t="s">
        <v>53</v>
      </c>
      <c r="B56" s="7"/>
      <c r="C56" s="7"/>
      <c r="D56" s="7"/>
      <c r="E56" s="5">
        <f>SUM(E48:E55)</f>
        <v>12</v>
      </c>
      <c r="F56" s="5">
        <f t="shared" ref="F56:K56" si="14">SUM(F48:F55)</f>
        <v>47</v>
      </c>
      <c r="G56" s="5">
        <f t="shared" si="14"/>
        <v>73</v>
      </c>
      <c r="H56" s="5">
        <f t="shared" si="14"/>
        <v>47</v>
      </c>
      <c r="I56" s="5">
        <f t="shared" si="14"/>
        <v>24</v>
      </c>
      <c r="J56" s="5">
        <f t="shared" si="14"/>
        <v>11</v>
      </c>
      <c r="K56" s="5">
        <f t="shared" si="14"/>
        <v>8</v>
      </c>
      <c r="L56" s="5">
        <f t="shared" si="12"/>
        <v>222</v>
      </c>
      <c r="M56" s="5">
        <f t="shared" si="13"/>
        <v>31.7142857142857</v>
      </c>
    </row>
    <row r="57" ht="16.5" customHeight="1" spans="1:13">
      <c r="A57" s="7" t="s">
        <v>54</v>
      </c>
      <c r="B57" s="7"/>
      <c r="C57" s="7"/>
      <c r="D57" s="7"/>
      <c r="E57" s="5">
        <f>E56/8</f>
        <v>1.5</v>
      </c>
      <c r="F57" s="5">
        <f t="shared" ref="F57:K57" si="15">F56/8</f>
        <v>5.875</v>
      </c>
      <c r="G57" s="5">
        <f t="shared" si="15"/>
        <v>9.125</v>
      </c>
      <c r="H57" s="5">
        <f t="shared" si="15"/>
        <v>5.875</v>
      </c>
      <c r="I57" s="5">
        <f t="shared" si="15"/>
        <v>3</v>
      </c>
      <c r="J57" s="5">
        <f t="shared" si="15"/>
        <v>1.375</v>
      </c>
      <c r="K57" s="5">
        <f t="shared" si="15"/>
        <v>1</v>
      </c>
      <c r="L57" s="5">
        <f t="shared" si="12"/>
        <v>27.75</v>
      </c>
      <c r="M57" s="5">
        <f t="shared" si="13"/>
        <v>3.96428571428571</v>
      </c>
    </row>
    <row r="58" ht="15" spans="1:13">
      <c r="A58" s="8" t="s">
        <v>135</v>
      </c>
      <c r="B58" s="8"/>
      <c r="L58">
        <f t="shared" si="12"/>
        <v>0</v>
      </c>
      <c r="M58">
        <f t="shared" si="13"/>
        <v>0</v>
      </c>
    </row>
    <row r="59" ht="15" spans="1:13">
      <c r="A59" s="3" t="s">
        <v>1</v>
      </c>
      <c r="B59" s="3" t="s">
        <v>2</v>
      </c>
      <c r="C59" s="4" t="s">
        <v>3</v>
      </c>
      <c r="D59" s="4" t="s">
        <v>4</v>
      </c>
      <c r="E59" s="3" t="s">
        <v>168</v>
      </c>
      <c r="F59" s="3"/>
      <c r="G59" s="3"/>
      <c r="H59" s="3"/>
      <c r="I59" s="3"/>
      <c r="J59" s="3"/>
      <c r="K59" s="3"/>
      <c r="L59" s="3">
        <f t="shared" si="12"/>
        <v>0</v>
      </c>
      <c r="M59" s="3">
        <f t="shared" si="13"/>
        <v>0</v>
      </c>
    </row>
    <row r="60" ht="31" customHeight="1" spans="1:13">
      <c r="A60" s="5">
        <v>1</v>
      </c>
      <c r="B60" s="6" t="s">
        <v>136</v>
      </c>
      <c r="C60" s="6" t="s">
        <v>137</v>
      </c>
      <c r="D60" s="6" t="s">
        <v>138</v>
      </c>
      <c r="E60" s="5">
        <v>1</v>
      </c>
      <c r="F60" s="5">
        <v>9</v>
      </c>
      <c r="G60" s="5">
        <v>8</v>
      </c>
      <c r="H60" s="5">
        <v>3</v>
      </c>
      <c r="I60" s="5">
        <v>7</v>
      </c>
      <c r="J60" s="5">
        <v>7</v>
      </c>
      <c r="K60" s="5">
        <v>1</v>
      </c>
      <c r="L60" s="5">
        <f t="shared" si="12"/>
        <v>36</v>
      </c>
      <c r="M60" s="5">
        <f t="shared" si="13"/>
        <v>5.14285714285714</v>
      </c>
    </row>
    <row r="61" ht="31" customHeight="1" spans="1:13">
      <c r="A61" s="5">
        <v>2</v>
      </c>
      <c r="B61" s="6" t="s">
        <v>139</v>
      </c>
      <c r="C61" s="6" t="s">
        <v>140</v>
      </c>
      <c r="D61" s="6" t="s">
        <v>141</v>
      </c>
      <c r="E61" s="5">
        <v>1</v>
      </c>
      <c r="F61" s="5">
        <v>9</v>
      </c>
      <c r="G61" s="5">
        <v>10</v>
      </c>
      <c r="H61" s="5">
        <v>2</v>
      </c>
      <c r="I61" s="5">
        <v>10</v>
      </c>
      <c r="J61" s="5">
        <v>6</v>
      </c>
      <c r="K61" s="5">
        <v>7</v>
      </c>
      <c r="L61" s="5">
        <f t="shared" si="12"/>
        <v>45</v>
      </c>
      <c r="M61" s="5">
        <f t="shared" si="13"/>
        <v>6.42857142857143</v>
      </c>
    </row>
    <row r="62" ht="31" customHeight="1" spans="1:13">
      <c r="A62" s="5">
        <v>3</v>
      </c>
      <c r="B62" s="6" t="s">
        <v>142</v>
      </c>
      <c r="C62" s="6" t="s">
        <v>143</v>
      </c>
      <c r="D62" s="6" t="s">
        <v>144</v>
      </c>
      <c r="E62" s="5">
        <v>1</v>
      </c>
      <c r="F62" s="5">
        <v>8</v>
      </c>
      <c r="G62" s="5">
        <v>7</v>
      </c>
      <c r="H62" s="5">
        <v>2</v>
      </c>
      <c r="I62" s="5">
        <v>9</v>
      </c>
      <c r="J62" s="5">
        <v>6</v>
      </c>
      <c r="K62" s="5">
        <v>9</v>
      </c>
      <c r="L62" s="5">
        <f t="shared" si="12"/>
        <v>42</v>
      </c>
      <c r="M62" s="5">
        <f t="shared" si="13"/>
        <v>6</v>
      </c>
    </row>
    <row r="63" ht="31" customHeight="1" spans="1:13">
      <c r="A63" s="5">
        <v>4</v>
      </c>
      <c r="B63" s="6" t="s">
        <v>145</v>
      </c>
      <c r="C63" s="6" t="s">
        <v>146</v>
      </c>
      <c r="D63" s="6" t="s">
        <v>147</v>
      </c>
      <c r="E63" s="5">
        <v>1</v>
      </c>
      <c r="F63" s="5">
        <v>8</v>
      </c>
      <c r="G63" s="5">
        <v>8</v>
      </c>
      <c r="H63" s="5">
        <v>5</v>
      </c>
      <c r="I63" s="5">
        <v>1</v>
      </c>
      <c r="J63" s="5">
        <v>6</v>
      </c>
      <c r="K63" s="5">
        <v>1</v>
      </c>
      <c r="L63" s="5">
        <f t="shared" si="12"/>
        <v>30</v>
      </c>
      <c r="M63" s="5">
        <f t="shared" si="13"/>
        <v>4.28571428571429</v>
      </c>
    </row>
    <row r="64" ht="31" customHeight="1" spans="1:13">
      <c r="A64" s="5">
        <v>5</v>
      </c>
      <c r="B64" s="6" t="s">
        <v>148</v>
      </c>
      <c r="C64" s="6" t="s">
        <v>149</v>
      </c>
      <c r="D64" s="6" t="s">
        <v>150</v>
      </c>
      <c r="E64" s="5">
        <v>1</v>
      </c>
      <c r="F64" s="5">
        <v>5</v>
      </c>
      <c r="G64" s="5">
        <v>10</v>
      </c>
      <c r="H64" s="5">
        <v>8</v>
      </c>
      <c r="I64" s="5">
        <v>1</v>
      </c>
      <c r="J64" s="5">
        <v>2</v>
      </c>
      <c r="K64" s="5">
        <v>1</v>
      </c>
      <c r="L64" s="5">
        <f t="shared" si="12"/>
        <v>28</v>
      </c>
      <c r="M64" s="5">
        <f t="shared" si="13"/>
        <v>4</v>
      </c>
    </row>
    <row r="65" ht="31" customHeight="1" spans="1:13">
      <c r="A65" s="5">
        <v>6</v>
      </c>
      <c r="B65" s="6" t="s">
        <v>151</v>
      </c>
      <c r="C65" s="6" t="s">
        <v>152</v>
      </c>
      <c r="D65" s="6" t="s">
        <v>153</v>
      </c>
      <c r="E65" s="5">
        <v>1</v>
      </c>
      <c r="F65" s="5">
        <v>8</v>
      </c>
      <c r="G65" s="5">
        <v>10</v>
      </c>
      <c r="H65" s="5">
        <v>4</v>
      </c>
      <c r="I65" s="5">
        <v>5</v>
      </c>
      <c r="J65" s="5">
        <v>3</v>
      </c>
      <c r="K65" s="5">
        <v>1</v>
      </c>
      <c r="L65" s="5">
        <f t="shared" si="12"/>
        <v>32</v>
      </c>
      <c r="M65" s="5">
        <f t="shared" si="13"/>
        <v>4.57142857142857</v>
      </c>
    </row>
    <row r="66" ht="16.5" customHeight="1" spans="1:13">
      <c r="A66" s="7" t="s">
        <v>53</v>
      </c>
      <c r="B66" s="7"/>
      <c r="C66" s="7"/>
      <c r="D66" s="7"/>
      <c r="E66" s="5">
        <f>SUM(E60:E65)</f>
        <v>6</v>
      </c>
      <c r="F66" s="5">
        <f t="shared" ref="F66:K66" si="16">SUM(F60:F65)</f>
        <v>47</v>
      </c>
      <c r="G66" s="5">
        <f t="shared" si="16"/>
        <v>53</v>
      </c>
      <c r="H66" s="5">
        <f t="shared" si="16"/>
        <v>24</v>
      </c>
      <c r="I66" s="5">
        <f t="shared" si="16"/>
        <v>33</v>
      </c>
      <c r="J66" s="5">
        <f t="shared" si="16"/>
        <v>30</v>
      </c>
      <c r="K66" s="5">
        <f t="shared" si="16"/>
        <v>20</v>
      </c>
      <c r="L66" s="5">
        <f t="shared" si="12"/>
        <v>213</v>
      </c>
      <c r="M66" s="5">
        <f t="shared" si="13"/>
        <v>30.4285714285714</v>
      </c>
    </row>
    <row r="67" ht="16.5" customHeight="1" spans="1:13">
      <c r="A67" s="7" t="s">
        <v>54</v>
      </c>
      <c r="B67" s="7"/>
      <c r="C67" s="7"/>
      <c r="D67" s="7"/>
      <c r="E67" s="5">
        <f>E66/6</f>
        <v>1</v>
      </c>
      <c r="F67" s="5">
        <f t="shared" ref="F67:K67" si="17">F66/6</f>
        <v>7.83333333333333</v>
      </c>
      <c r="G67" s="5">
        <f t="shared" si="17"/>
        <v>8.83333333333333</v>
      </c>
      <c r="H67" s="5">
        <f t="shared" si="17"/>
        <v>4</v>
      </c>
      <c r="I67" s="5">
        <f t="shared" si="17"/>
        <v>5.5</v>
      </c>
      <c r="J67" s="5">
        <f t="shared" si="17"/>
        <v>5</v>
      </c>
      <c r="K67" s="5">
        <f t="shared" si="17"/>
        <v>3.33333333333333</v>
      </c>
      <c r="L67" s="5">
        <f t="shared" si="12"/>
        <v>35.5</v>
      </c>
      <c r="M67" s="5">
        <f t="shared" si="13"/>
        <v>5.07142857142857</v>
      </c>
    </row>
    <row r="70" ht="20" customHeight="1" spans="1:13">
      <c r="A70" s="11" t="s">
        <v>154</v>
      </c>
      <c r="B70" s="11" t="s">
        <v>54</v>
      </c>
      <c r="C70" s="11" t="s">
        <v>108</v>
      </c>
      <c r="D70" s="12"/>
    </row>
    <row r="71" ht="45" customHeight="1" spans="1:13">
      <c r="A71" s="13" t="s">
        <v>155</v>
      </c>
      <c r="B71" s="13">
        <v>4.6</v>
      </c>
      <c r="C71" s="14" t="s">
        <v>174</v>
      </c>
      <c r="D71" s="14"/>
    </row>
    <row r="72" ht="33" customHeight="1" spans="1:13">
      <c r="A72" s="13" t="s">
        <v>157</v>
      </c>
      <c r="B72" s="13">
        <v>4.8</v>
      </c>
      <c r="C72" s="14" t="s">
        <v>175</v>
      </c>
      <c r="D72" s="14"/>
    </row>
    <row r="73" ht="33" customHeight="1" spans="1:13">
      <c r="A73" s="13" t="s">
        <v>159</v>
      </c>
      <c r="B73" s="15">
        <v>3.6</v>
      </c>
      <c r="C73" s="16" t="s">
        <v>176</v>
      </c>
      <c r="D73" s="16"/>
    </row>
    <row r="74" ht="33" customHeight="1" spans="1:13">
      <c r="A74" s="13" t="s">
        <v>161</v>
      </c>
      <c r="B74" s="13">
        <v>4</v>
      </c>
      <c r="C74" s="14" t="s">
        <v>177</v>
      </c>
      <c r="D74" s="14"/>
    </row>
    <row r="75" ht="21" customHeight="1" spans="1:13">
      <c r="A75" s="13" t="s">
        <v>163</v>
      </c>
      <c r="B75" s="13">
        <v>5</v>
      </c>
      <c r="C75" s="16" t="s">
        <v>173</v>
      </c>
      <c r="D75" s="16"/>
    </row>
    <row r="76" ht="24" customHeight="1" spans="1:13">
      <c r="A76" s="13" t="s">
        <v>165</v>
      </c>
      <c r="B76" s="13">
        <f>AVERAGE(B71:B75)</f>
        <v>4.4</v>
      </c>
      <c r="C76" s="16"/>
      <c r="D76" s="16"/>
    </row>
  </sheetData>
  <mergeCells count="23">
    <mergeCell ref="A1:D1"/>
    <mergeCell ref="A16:D16"/>
    <mergeCell ref="A17:D17"/>
    <mergeCell ref="A18:B18"/>
    <mergeCell ref="A28:D28"/>
    <mergeCell ref="A29:D29"/>
    <mergeCell ref="A31:B31"/>
    <mergeCell ref="A43:D43"/>
    <mergeCell ref="A44:D44"/>
    <mergeCell ref="B45:K45"/>
    <mergeCell ref="A46:B46"/>
    <mergeCell ref="A56:D56"/>
    <mergeCell ref="A57:D57"/>
    <mergeCell ref="A58:B58"/>
    <mergeCell ref="A66:D66"/>
    <mergeCell ref="A67:D67"/>
    <mergeCell ref="C70:D70"/>
    <mergeCell ref="C71:D71"/>
    <mergeCell ref="C72:D72"/>
    <mergeCell ref="C73:D73"/>
    <mergeCell ref="C74:D74"/>
    <mergeCell ref="C75:D75"/>
    <mergeCell ref="C76:D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topLeftCell="A61" workbookViewId="0">
      <selection activeCell="B81" sqref="B81"/>
    </sheetView>
  </sheetViews>
  <sheetFormatPr defaultColWidth="9" defaultRowHeight="13.5"/>
  <cols>
    <col min="2" max="3" width="25.5663716814159" customWidth="1"/>
    <col min="4" max="4" width="33.3185840707965" customWidth="1"/>
    <col min="5" max="13" width="11.1238938053097"/>
  </cols>
  <sheetData>
    <row r="1" ht="14.25" spans="1:13">
      <c r="A1" s="1" t="s">
        <v>166</v>
      </c>
      <c r="B1" s="2"/>
    </row>
    <row r="2" ht="15" spans="1:13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35" customHeight="1" spans="1:13">
      <c r="A3" s="5">
        <v>1</v>
      </c>
      <c r="B3" s="6" t="s">
        <v>14</v>
      </c>
      <c r="C3" s="6" t="s">
        <v>15</v>
      </c>
      <c r="D3" s="6" t="s">
        <v>16</v>
      </c>
      <c r="E3" s="5">
        <v>1</v>
      </c>
      <c r="F3" s="5">
        <v>8</v>
      </c>
      <c r="G3" s="5">
        <v>3</v>
      </c>
      <c r="H3" s="5">
        <v>3</v>
      </c>
      <c r="I3" s="5">
        <v>2</v>
      </c>
      <c r="J3" s="5">
        <v>2</v>
      </c>
      <c r="K3" s="5">
        <v>1</v>
      </c>
      <c r="L3" s="5">
        <f>SUM(E3:K3)</f>
        <v>20</v>
      </c>
      <c r="M3" s="5">
        <f>L3/7</f>
        <v>2.85714285714286</v>
      </c>
    </row>
    <row r="4" ht="35" customHeight="1" spans="1:13">
      <c r="A4" s="5">
        <v>2</v>
      </c>
      <c r="B4" s="6" t="s">
        <v>17</v>
      </c>
      <c r="C4" s="6" t="s">
        <v>18</v>
      </c>
      <c r="D4" s="6" t="s">
        <v>19</v>
      </c>
      <c r="E4" s="5">
        <v>1</v>
      </c>
      <c r="F4" s="5">
        <v>8</v>
      </c>
      <c r="G4" s="5">
        <v>1</v>
      </c>
      <c r="H4" s="5">
        <v>2</v>
      </c>
      <c r="I4" s="5">
        <v>1</v>
      </c>
      <c r="J4" s="5">
        <v>4</v>
      </c>
      <c r="K4" s="5">
        <v>1</v>
      </c>
      <c r="L4" s="5">
        <f t="shared" ref="L4:L17" si="0">SUM(E4:K4)</f>
        <v>18</v>
      </c>
      <c r="M4" s="5">
        <f t="shared" ref="M4:M17" si="1">L4/7</f>
        <v>2.57142857142857</v>
      </c>
    </row>
    <row r="5" ht="35" customHeight="1" spans="1:13">
      <c r="A5" s="5">
        <v>3</v>
      </c>
      <c r="B5" s="6" t="s">
        <v>20</v>
      </c>
      <c r="C5" s="6" t="s">
        <v>21</v>
      </c>
      <c r="D5" s="6" t="s">
        <v>22</v>
      </c>
      <c r="E5" s="5">
        <v>1</v>
      </c>
      <c r="F5" s="5">
        <v>8</v>
      </c>
      <c r="G5" s="5">
        <v>5</v>
      </c>
      <c r="H5" s="5">
        <v>3</v>
      </c>
      <c r="I5" s="5">
        <v>3</v>
      </c>
      <c r="J5" s="5">
        <v>2</v>
      </c>
      <c r="K5" s="5">
        <v>3</v>
      </c>
      <c r="L5" s="5">
        <f t="shared" si="0"/>
        <v>25</v>
      </c>
      <c r="M5" s="5">
        <f t="shared" si="1"/>
        <v>3.57142857142857</v>
      </c>
    </row>
    <row r="6" ht="35" customHeight="1" spans="1:13">
      <c r="A6" s="5">
        <v>4</v>
      </c>
      <c r="B6" s="6" t="s">
        <v>23</v>
      </c>
      <c r="C6" s="6" t="s">
        <v>24</v>
      </c>
      <c r="D6" s="6" t="s">
        <v>25</v>
      </c>
      <c r="E6" s="5">
        <v>8</v>
      </c>
      <c r="F6" s="5">
        <v>6</v>
      </c>
      <c r="G6" s="5">
        <v>8</v>
      </c>
      <c r="H6" s="5">
        <v>4</v>
      </c>
      <c r="I6" s="5">
        <v>2</v>
      </c>
      <c r="J6" s="5">
        <v>2</v>
      </c>
      <c r="K6" s="5">
        <v>1</v>
      </c>
      <c r="L6" s="5">
        <f t="shared" si="0"/>
        <v>31</v>
      </c>
      <c r="M6" s="5">
        <f t="shared" si="1"/>
        <v>4.42857142857143</v>
      </c>
    </row>
    <row r="7" ht="35" customHeight="1" spans="1:13">
      <c r="A7" s="5">
        <v>5</v>
      </c>
      <c r="B7" s="6" t="s">
        <v>26</v>
      </c>
      <c r="C7" s="6" t="s">
        <v>27</v>
      </c>
      <c r="D7" s="6" t="s">
        <v>28</v>
      </c>
      <c r="E7" s="5">
        <v>10</v>
      </c>
      <c r="F7" s="5">
        <v>5</v>
      </c>
      <c r="G7" s="5">
        <v>10</v>
      </c>
      <c r="H7" s="5">
        <v>5</v>
      </c>
      <c r="I7" s="5">
        <v>1</v>
      </c>
      <c r="J7" s="5">
        <v>2</v>
      </c>
      <c r="K7" s="5">
        <v>1</v>
      </c>
      <c r="L7" s="5">
        <f t="shared" si="0"/>
        <v>34</v>
      </c>
      <c r="M7" s="5">
        <f t="shared" si="1"/>
        <v>4.85714285714286</v>
      </c>
    </row>
    <row r="8" ht="35" customHeight="1" spans="1:13">
      <c r="A8" s="5">
        <v>6</v>
      </c>
      <c r="B8" s="6" t="s">
        <v>29</v>
      </c>
      <c r="C8" s="6" t="s">
        <v>30</v>
      </c>
      <c r="D8" s="6" t="s">
        <v>31</v>
      </c>
      <c r="E8" s="5">
        <v>8</v>
      </c>
      <c r="F8" s="5">
        <v>8</v>
      </c>
      <c r="G8" s="5">
        <v>7</v>
      </c>
      <c r="H8" s="5">
        <v>3</v>
      </c>
      <c r="I8" s="5">
        <v>4</v>
      </c>
      <c r="J8" s="5">
        <v>4</v>
      </c>
      <c r="K8" s="5">
        <v>1</v>
      </c>
      <c r="L8" s="5">
        <f t="shared" si="0"/>
        <v>35</v>
      </c>
      <c r="M8" s="5">
        <f t="shared" si="1"/>
        <v>5</v>
      </c>
    </row>
    <row r="9" ht="35" customHeight="1" spans="1:13">
      <c r="A9" s="5">
        <v>7</v>
      </c>
      <c r="B9" s="6" t="s">
        <v>32</v>
      </c>
      <c r="C9" s="6" t="s">
        <v>33</v>
      </c>
      <c r="D9" s="6" t="s">
        <v>34</v>
      </c>
      <c r="E9" s="5">
        <v>1</v>
      </c>
      <c r="F9" s="5">
        <v>8</v>
      </c>
      <c r="G9" s="5">
        <v>3</v>
      </c>
      <c r="H9" s="5">
        <v>8</v>
      </c>
      <c r="I9" s="5">
        <v>1</v>
      </c>
      <c r="J9" s="5">
        <v>2</v>
      </c>
      <c r="K9" s="5">
        <v>1</v>
      </c>
      <c r="L9" s="5">
        <f t="shared" si="0"/>
        <v>24</v>
      </c>
      <c r="M9" s="5">
        <f t="shared" si="1"/>
        <v>3.42857142857143</v>
      </c>
    </row>
    <row r="10" ht="35" customHeight="1" spans="1:13">
      <c r="A10" s="5">
        <v>8</v>
      </c>
      <c r="B10" s="6" t="s">
        <v>35</v>
      </c>
      <c r="C10" s="6" t="s">
        <v>36</v>
      </c>
      <c r="D10" s="6" t="s">
        <v>37</v>
      </c>
      <c r="E10" s="5">
        <v>4</v>
      </c>
      <c r="F10" s="5">
        <v>7</v>
      </c>
      <c r="G10" s="5">
        <v>10</v>
      </c>
      <c r="H10" s="5">
        <v>8</v>
      </c>
      <c r="I10" s="5">
        <v>7</v>
      </c>
      <c r="J10" s="5">
        <v>7</v>
      </c>
      <c r="K10" s="5">
        <v>1</v>
      </c>
      <c r="L10" s="5">
        <f t="shared" si="0"/>
        <v>44</v>
      </c>
      <c r="M10" s="5">
        <f t="shared" si="1"/>
        <v>6.28571428571429</v>
      </c>
    </row>
    <row r="11" ht="23" customHeight="1" spans="1:13">
      <c r="A11" s="5">
        <v>9</v>
      </c>
      <c r="B11" s="6" t="s">
        <v>38</v>
      </c>
      <c r="C11" s="6" t="s">
        <v>39</v>
      </c>
      <c r="D11" s="6" t="s">
        <v>40</v>
      </c>
      <c r="E11" s="5">
        <v>8</v>
      </c>
      <c r="F11" s="5">
        <v>5</v>
      </c>
      <c r="G11" s="5">
        <v>8</v>
      </c>
      <c r="H11" s="5">
        <v>5</v>
      </c>
      <c r="I11" s="5">
        <v>4</v>
      </c>
      <c r="J11" s="5">
        <v>2</v>
      </c>
      <c r="K11" s="5">
        <v>1</v>
      </c>
      <c r="L11" s="5">
        <f t="shared" si="0"/>
        <v>33</v>
      </c>
      <c r="M11" s="5">
        <f t="shared" si="1"/>
        <v>4.71428571428571</v>
      </c>
    </row>
    <row r="12" ht="35" customHeight="1" spans="1:13">
      <c r="A12" s="5">
        <v>10</v>
      </c>
      <c r="B12" s="6" t="s">
        <v>41</v>
      </c>
      <c r="C12" s="6" t="s">
        <v>42</v>
      </c>
      <c r="D12" s="6" t="s">
        <v>43</v>
      </c>
      <c r="E12" s="5">
        <v>1</v>
      </c>
      <c r="F12" s="5">
        <v>6</v>
      </c>
      <c r="G12" s="5">
        <v>10</v>
      </c>
      <c r="H12" s="5">
        <v>5</v>
      </c>
      <c r="I12" s="5">
        <v>1</v>
      </c>
      <c r="J12" s="5">
        <v>1</v>
      </c>
      <c r="K12" s="5">
        <v>1</v>
      </c>
      <c r="L12" s="5">
        <f t="shared" si="0"/>
        <v>25</v>
      </c>
      <c r="M12" s="5">
        <f t="shared" si="1"/>
        <v>3.57142857142857</v>
      </c>
    </row>
    <row r="13" ht="21" customHeight="1" spans="1:13">
      <c r="A13" s="5">
        <v>11</v>
      </c>
      <c r="B13" s="6" t="s">
        <v>44</v>
      </c>
      <c r="C13" s="6" t="s">
        <v>45</v>
      </c>
      <c r="D13" s="6" t="s">
        <v>46</v>
      </c>
      <c r="E13" s="5">
        <v>1</v>
      </c>
      <c r="F13" s="5">
        <v>6</v>
      </c>
      <c r="G13" s="5">
        <v>10</v>
      </c>
      <c r="H13" s="5">
        <v>5</v>
      </c>
      <c r="I13" s="5">
        <v>6</v>
      </c>
      <c r="J13" s="5">
        <v>3</v>
      </c>
      <c r="K13" s="5">
        <v>2</v>
      </c>
      <c r="L13" s="5">
        <f t="shared" si="0"/>
        <v>33</v>
      </c>
      <c r="M13" s="5">
        <f t="shared" si="1"/>
        <v>4.71428571428571</v>
      </c>
    </row>
    <row r="14" ht="19" customHeight="1" spans="1:13">
      <c r="A14" s="5">
        <v>12</v>
      </c>
      <c r="B14" s="6" t="s">
        <v>47</v>
      </c>
      <c r="C14" s="6" t="s">
        <v>48</v>
      </c>
      <c r="D14" s="6" t="s">
        <v>49</v>
      </c>
      <c r="E14" s="5">
        <v>1</v>
      </c>
      <c r="F14" s="5">
        <v>7</v>
      </c>
      <c r="G14" s="5">
        <v>1</v>
      </c>
      <c r="H14" s="5">
        <v>3</v>
      </c>
      <c r="I14" s="5">
        <v>1</v>
      </c>
      <c r="J14" s="5">
        <v>2</v>
      </c>
      <c r="K14" s="5">
        <v>1</v>
      </c>
      <c r="L14" s="5">
        <f t="shared" si="0"/>
        <v>16</v>
      </c>
      <c r="M14" s="5">
        <f t="shared" si="1"/>
        <v>2.28571428571429</v>
      </c>
    </row>
    <row r="15" ht="18" customHeight="1" spans="1:13">
      <c r="A15" s="5">
        <v>13</v>
      </c>
      <c r="B15" s="6" t="s">
        <v>50</v>
      </c>
      <c r="C15" s="6" t="s">
        <v>51</v>
      </c>
      <c r="D15" s="6" t="s">
        <v>52</v>
      </c>
      <c r="E15" s="5">
        <v>1</v>
      </c>
      <c r="F15" s="5">
        <v>7</v>
      </c>
      <c r="G15" s="5">
        <v>1</v>
      </c>
      <c r="H15" s="5">
        <v>5</v>
      </c>
      <c r="I15" s="5">
        <v>1</v>
      </c>
      <c r="J15" s="5">
        <v>2</v>
      </c>
      <c r="K15" s="5">
        <v>1</v>
      </c>
      <c r="L15" s="5">
        <f t="shared" si="0"/>
        <v>18</v>
      </c>
      <c r="M15" s="5">
        <f t="shared" si="1"/>
        <v>2.57142857142857</v>
      </c>
    </row>
    <row r="16" ht="15" spans="1:13">
      <c r="A16" s="7" t="s">
        <v>53</v>
      </c>
      <c r="B16" s="7"/>
      <c r="C16" s="7"/>
      <c r="D16" s="7"/>
      <c r="E16" s="5">
        <f>SUM(E3:E15)</f>
        <v>46</v>
      </c>
      <c r="F16" s="5">
        <f t="shared" ref="F16:K16" si="2">SUM(F3:F15)</f>
        <v>89</v>
      </c>
      <c r="G16" s="5">
        <f t="shared" si="2"/>
        <v>77</v>
      </c>
      <c r="H16" s="5">
        <f t="shared" si="2"/>
        <v>59</v>
      </c>
      <c r="I16" s="5">
        <f t="shared" si="2"/>
        <v>34</v>
      </c>
      <c r="J16" s="5">
        <f t="shared" si="2"/>
        <v>35</v>
      </c>
      <c r="K16" s="5">
        <f t="shared" si="2"/>
        <v>16</v>
      </c>
      <c r="L16" s="5">
        <f t="shared" si="0"/>
        <v>356</v>
      </c>
      <c r="M16" s="5">
        <f t="shared" si="1"/>
        <v>50.8571428571429</v>
      </c>
    </row>
    <row r="17" ht="15" spans="1:13">
      <c r="A17" s="7" t="s">
        <v>54</v>
      </c>
      <c r="B17" s="7"/>
      <c r="C17" s="7"/>
      <c r="D17" s="7"/>
      <c r="E17" s="5">
        <f>E16/13</f>
        <v>3.53846153846154</v>
      </c>
      <c r="F17" s="5">
        <f t="shared" ref="F17:K17" si="3">F16/13</f>
        <v>6.84615384615385</v>
      </c>
      <c r="G17" s="5">
        <f t="shared" si="3"/>
        <v>5.92307692307692</v>
      </c>
      <c r="H17" s="5">
        <f t="shared" si="3"/>
        <v>4.53846153846154</v>
      </c>
      <c r="I17" s="5">
        <f t="shared" si="3"/>
        <v>2.61538461538462</v>
      </c>
      <c r="J17" s="5">
        <f t="shared" si="3"/>
        <v>2.69230769230769</v>
      </c>
      <c r="K17" s="5">
        <f t="shared" si="3"/>
        <v>1.23076923076923</v>
      </c>
      <c r="L17" s="5">
        <f t="shared" si="0"/>
        <v>27.3846153846154</v>
      </c>
      <c r="M17" s="5">
        <f t="shared" si="1"/>
        <v>3.91208791208791</v>
      </c>
    </row>
    <row r="18" ht="15" spans="1:13">
      <c r="A18" s="8" t="s">
        <v>167</v>
      </c>
      <c r="B18" s="8"/>
    </row>
    <row r="19" ht="15" spans="1:13">
      <c r="A19" s="3" t="s">
        <v>1</v>
      </c>
      <c r="B19" s="3" t="s">
        <v>2</v>
      </c>
      <c r="C19" s="4" t="s">
        <v>3</v>
      </c>
      <c r="D19" s="4" t="s">
        <v>4</v>
      </c>
      <c r="E19" s="3" t="s">
        <v>168</v>
      </c>
      <c r="F19" s="3"/>
      <c r="G19" s="3"/>
      <c r="H19" s="3"/>
      <c r="I19" s="3"/>
      <c r="J19" s="3"/>
      <c r="K19" s="3"/>
      <c r="L19" s="3"/>
      <c r="M19" s="3"/>
    </row>
    <row r="20" ht="29" customHeight="1" spans="1:13">
      <c r="A20" s="5">
        <v>1</v>
      </c>
      <c r="B20" s="6" t="s">
        <v>57</v>
      </c>
      <c r="C20" s="6" t="s">
        <v>58</v>
      </c>
      <c r="D20" s="6" t="s">
        <v>59</v>
      </c>
      <c r="E20" s="5">
        <v>1</v>
      </c>
      <c r="F20" s="5">
        <v>8</v>
      </c>
      <c r="G20" s="5">
        <v>7</v>
      </c>
      <c r="H20" s="5">
        <v>3</v>
      </c>
      <c r="I20" s="5">
        <v>3</v>
      </c>
      <c r="J20" s="5">
        <v>1</v>
      </c>
      <c r="K20" s="5">
        <v>4</v>
      </c>
      <c r="L20" s="5">
        <f>SUM(E20:K20)</f>
        <v>27</v>
      </c>
      <c r="M20" s="5">
        <f>L20/7</f>
        <v>3.85714285714286</v>
      </c>
    </row>
    <row r="21" ht="29" customHeight="1" spans="1:13">
      <c r="A21" s="5">
        <v>2</v>
      </c>
      <c r="B21" s="6" t="s">
        <v>60</v>
      </c>
      <c r="C21" s="6" t="s">
        <v>61</v>
      </c>
      <c r="D21" s="6" t="s">
        <v>62</v>
      </c>
      <c r="E21" s="5">
        <v>1</v>
      </c>
      <c r="F21" s="5">
        <v>5</v>
      </c>
      <c r="G21" s="5">
        <v>1</v>
      </c>
      <c r="H21" s="5">
        <v>3</v>
      </c>
      <c r="I21" s="5">
        <v>2</v>
      </c>
      <c r="J21" s="5">
        <v>1</v>
      </c>
      <c r="K21" s="5">
        <v>1</v>
      </c>
      <c r="L21" s="5">
        <f t="shared" ref="L21:L29" si="4">SUM(E21:K21)</f>
        <v>14</v>
      </c>
      <c r="M21" s="5">
        <f t="shared" ref="M21:M29" si="5">L21/7</f>
        <v>2</v>
      </c>
    </row>
    <row r="22" ht="29" customHeight="1" spans="1:13">
      <c r="A22" s="5">
        <v>3</v>
      </c>
      <c r="B22" s="6" t="s">
        <v>63</v>
      </c>
      <c r="C22" s="6" t="s">
        <v>64</v>
      </c>
      <c r="D22" s="6" t="s">
        <v>65</v>
      </c>
      <c r="E22" s="5">
        <v>1</v>
      </c>
      <c r="F22" s="5">
        <v>4</v>
      </c>
      <c r="G22" s="5">
        <v>3</v>
      </c>
      <c r="H22" s="5">
        <v>4</v>
      </c>
      <c r="I22" s="5">
        <v>1</v>
      </c>
      <c r="J22" s="5">
        <v>1</v>
      </c>
      <c r="K22" s="5">
        <v>3</v>
      </c>
      <c r="L22" s="5">
        <f t="shared" si="4"/>
        <v>17</v>
      </c>
      <c r="M22" s="5">
        <f t="shared" si="5"/>
        <v>2.42857142857143</v>
      </c>
    </row>
    <row r="23" ht="29" customHeight="1" spans="1:13">
      <c r="A23" s="5">
        <v>4</v>
      </c>
      <c r="B23" s="6" t="s">
        <v>66</v>
      </c>
      <c r="C23" s="6" t="s">
        <v>67</v>
      </c>
      <c r="D23" s="6" t="s">
        <v>68</v>
      </c>
      <c r="E23" s="5">
        <v>1</v>
      </c>
      <c r="F23" s="5">
        <v>4</v>
      </c>
      <c r="G23" s="5">
        <v>7</v>
      </c>
      <c r="H23" s="5">
        <v>3</v>
      </c>
      <c r="I23" s="5">
        <v>6</v>
      </c>
      <c r="J23" s="5">
        <v>3</v>
      </c>
      <c r="K23" s="5">
        <v>7</v>
      </c>
      <c r="L23" s="5">
        <f t="shared" si="4"/>
        <v>31</v>
      </c>
      <c r="M23" s="5">
        <f t="shared" si="5"/>
        <v>4.42857142857143</v>
      </c>
    </row>
    <row r="24" ht="29" customHeight="1" spans="1:13">
      <c r="A24" s="5">
        <v>5</v>
      </c>
      <c r="B24" s="6" t="s">
        <v>69</v>
      </c>
      <c r="C24" s="6" t="s">
        <v>64</v>
      </c>
      <c r="D24" s="6" t="s">
        <v>70</v>
      </c>
      <c r="E24" s="5">
        <v>4</v>
      </c>
      <c r="F24" s="5">
        <v>5</v>
      </c>
      <c r="G24" s="5">
        <v>5</v>
      </c>
      <c r="H24" s="5">
        <v>5</v>
      </c>
      <c r="I24" s="5">
        <v>3</v>
      </c>
      <c r="J24" s="5">
        <v>6</v>
      </c>
      <c r="K24" s="5">
        <v>4</v>
      </c>
      <c r="L24" s="5">
        <f t="shared" si="4"/>
        <v>32</v>
      </c>
      <c r="M24" s="5">
        <f t="shared" si="5"/>
        <v>4.57142857142857</v>
      </c>
    </row>
    <row r="25" ht="29" customHeight="1" spans="1:13">
      <c r="A25" s="5">
        <v>6</v>
      </c>
      <c r="B25" s="6" t="s">
        <v>71</v>
      </c>
      <c r="C25" s="6" t="s">
        <v>72</v>
      </c>
      <c r="D25" s="6" t="s">
        <v>73</v>
      </c>
      <c r="E25" s="5">
        <v>1</v>
      </c>
      <c r="F25" s="5">
        <v>5</v>
      </c>
      <c r="G25" s="5">
        <v>8</v>
      </c>
      <c r="H25" s="5">
        <v>3</v>
      </c>
      <c r="I25" s="5">
        <v>2</v>
      </c>
      <c r="J25" s="5">
        <v>3</v>
      </c>
      <c r="K25" s="5">
        <v>1</v>
      </c>
      <c r="L25" s="5">
        <f t="shared" si="4"/>
        <v>23</v>
      </c>
      <c r="M25" s="5">
        <f t="shared" si="5"/>
        <v>3.28571428571429</v>
      </c>
    </row>
    <row r="26" ht="29" customHeight="1" spans="1:13">
      <c r="A26" s="5">
        <v>7</v>
      </c>
      <c r="B26" s="6" t="s">
        <v>74</v>
      </c>
      <c r="C26" s="6" t="s">
        <v>58</v>
      </c>
      <c r="D26" s="6" t="s">
        <v>75</v>
      </c>
      <c r="E26" s="5">
        <v>1</v>
      </c>
      <c r="F26" s="5">
        <v>8</v>
      </c>
      <c r="G26" s="5">
        <v>10</v>
      </c>
      <c r="H26" s="5">
        <v>2</v>
      </c>
      <c r="I26" s="5">
        <v>5</v>
      </c>
      <c r="J26" s="5">
        <v>2</v>
      </c>
      <c r="K26" s="5">
        <v>1</v>
      </c>
      <c r="L26" s="5">
        <f t="shared" si="4"/>
        <v>29</v>
      </c>
      <c r="M26" s="5">
        <f t="shared" si="5"/>
        <v>4.14285714285714</v>
      </c>
    </row>
    <row r="27" ht="29" customHeight="1" spans="1:13">
      <c r="A27" s="5">
        <v>8</v>
      </c>
      <c r="B27" s="6" t="s">
        <v>76</v>
      </c>
      <c r="C27" s="6" t="s">
        <v>77</v>
      </c>
      <c r="D27" s="6" t="s">
        <v>78</v>
      </c>
      <c r="E27" s="5">
        <v>1</v>
      </c>
      <c r="F27" s="5">
        <v>4</v>
      </c>
      <c r="G27" s="5">
        <v>10</v>
      </c>
      <c r="H27" s="5">
        <v>5</v>
      </c>
      <c r="I27" s="5">
        <v>1</v>
      </c>
      <c r="J27" s="5">
        <v>1</v>
      </c>
      <c r="K27" s="5">
        <v>1</v>
      </c>
      <c r="L27" s="5">
        <f t="shared" si="4"/>
        <v>23</v>
      </c>
      <c r="M27" s="5">
        <f t="shared" si="5"/>
        <v>3.28571428571429</v>
      </c>
    </row>
    <row r="28" ht="15" spans="1:13">
      <c r="A28" s="7" t="s">
        <v>53</v>
      </c>
      <c r="B28" s="7"/>
      <c r="C28" s="7"/>
      <c r="D28" s="7"/>
      <c r="E28" s="5">
        <f>SUM(E20:E27)</f>
        <v>11</v>
      </c>
      <c r="F28" s="5">
        <f t="shared" ref="F28:K28" si="6">SUM(F20:F27)</f>
        <v>43</v>
      </c>
      <c r="G28" s="5">
        <f t="shared" si="6"/>
        <v>51</v>
      </c>
      <c r="H28" s="5">
        <f t="shared" si="6"/>
        <v>28</v>
      </c>
      <c r="I28" s="5">
        <f t="shared" si="6"/>
        <v>23</v>
      </c>
      <c r="J28" s="5">
        <f t="shared" si="6"/>
        <v>18</v>
      </c>
      <c r="K28" s="5">
        <f t="shared" si="6"/>
        <v>22</v>
      </c>
      <c r="L28" s="5">
        <f t="shared" si="4"/>
        <v>196</v>
      </c>
      <c r="M28" s="5">
        <f t="shared" si="5"/>
        <v>28</v>
      </c>
    </row>
    <row r="29" ht="15" spans="1:13">
      <c r="A29" s="7" t="s">
        <v>54</v>
      </c>
      <c r="B29" s="7"/>
      <c r="C29" s="7"/>
      <c r="D29" s="7"/>
      <c r="E29" s="5">
        <f>E28/8</f>
        <v>1.375</v>
      </c>
      <c r="F29" s="5">
        <f t="shared" ref="F29:K29" si="7">F28/8</f>
        <v>5.375</v>
      </c>
      <c r="G29" s="5">
        <f t="shared" si="7"/>
        <v>6.375</v>
      </c>
      <c r="H29" s="5">
        <f t="shared" si="7"/>
        <v>3.5</v>
      </c>
      <c r="I29" s="5">
        <f t="shared" si="7"/>
        <v>2.875</v>
      </c>
      <c r="J29" s="5">
        <f t="shared" si="7"/>
        <v>2.25</v>
      </c>
      <c r="K29" s="5">
        <f t="shared" si="7"/>
        <v>2.75</v>
      </c>
      <c r="L29" s="5">
        <f t="shared" si="4"/>
        <v>24.5</v>
      </c>
      <c r="M29" s="5">
        <f t="shared" si="5"/>
        <v>3.5</v>
      </c>
    </row>
    <row r="30" spans="1:13">
      <c r="A30" s="9" t="s">
        <v>79</v>
      </c>
    </row>
    <row r="31" ht="15" spans="1:13">
      <c r="A31" s="8" t="s">
        <v>80</v>
      </c>
      <c r="B31" s="8"/>
    </row>
    <row r="32" ht="15" spans="1:13">
      <c r="A32" s="3" t="s">
        <v>1</v>
      </c>
      <c r="B32" s="3" t="s">
        <v>2</v>
      </c>
      <c r="C32" s="4" t="s">
        <v>3</v>
      </c>
      <c r="D32" s="4" t="s">
        <v>4</v>
      </c>
      <c r="E32" s="3" t="s">
        <v>168</v>
      </c>
      <c r="F32" s="3"/>
      <c r="G32" s="3"/>
      <c r="H32" s="3"/>
      <c r="I32" s="3"/>
      <c r="J32" s="3"/>
      <c r="K32" s="3"/>
      <c r="L32" s="3"/>
      <c r="M32" s="3"/>
    </row>
    <row r="33" ht="30" customHeight="1" spans="1:13">
      <c r="A33" s="5">
        <v>1</v>
      </c>
      <c r="B33" s="6" t="s">
        <v>81</v>
      </c>
      <c r="C33" s="6" t="s">
        <v>82</v>
      </c>
      <c r="D33" s="6" t="s">
        <v>83</v>
      </c>
      <c r="E33" s="5">
        <v>8</v>
      </c>
      <c r="F33" s="5">
        <v>7</v>
      </c>
      <c r="G33" s="5">
        <v>10</v>
      </c>
      <c r="H33" s="5">
        <v>8</v>
      </c>
      <c r="I33" s="5">
        <v>5</v>
      </c>
      <c r="J33" s="5">
        <v>2</v>
      </c>
      <c r="K33" s="5">
        <v>5</v>
      </c>
      <c r="L33" s="5">
        <f>SUM(E33:K33)</f>
        <v>45</v>
      </c>
      <c r="M33" s="5">
        <f>L33/7</f>
        <v>6.42857142857143</v>
      </c>
    </row>
    <row r="34" ht="30" customHeight="1" spans="1:13">
      <c r="A34" s="5">
        <v>2</v>
      </c>
      <c r="B34" s="6" t="s">
        <v>84</v>
      </c>
      <c r="C34" s="6" t="s">
        <v>85</v>
      </c>
      <c r="D34" s="6" t="s">
        <v>86</v>
      </c>
      <c r="E34" s="5">
        <v>1</v>
      </c>
      <c r="F34" s="5">
        <v>7</v>
      </c>
      <c r="G34" s="5">
        <v>8</v>
      </c>
      <c r="H34" s="5">
        <v>4</v>
      </c>
      <c r="I34" s="5">
        <v>6</v>
      </c>
      <c r="J34" s="5">
        <v>2</v>
      </c>
      <c r="K34" s="5">
        <v>1</v>
      </c>
      <c r="L34" s="5">
        <f t="shared" ref="L34:L44" si="8">SUM(E34:K34)</f>
        <v>29</v>
      </c>
      <c r="M34" s="5">
        <f t="shared" ref="M34:M44" si="9">L34/7</f>
        <v>4.14285714285714</v>
      </c>
    </row>
    <row r="35" ht="30" customHeight="1" spans="1:13">
      <c r="A35" s="5">
        <v>3</v>
      </c>
      <c r="B35" s="6" t="s">
        <v>87</v>
      </c>
      <c r="C35" s="6" t="s">
        <v>88</v>
      </c>
      <c r="D35" s="6" t="s">
        <v>89</v>
      </c>
      <c r="E35" s="5">
        <v>1</v>
      </c>
      <c r="F35" s="5">
        <v>5</v>
      </c>
      <c r="G35" s="5">
        <v>10</v>
      </c>
      <c r="H35" s="5">
        <v>3</v>
      </c>
      <c r="I35" s="5">
        <v>2</v>
      </c>
      <c r="J35" s="5">
        <v>2</v>
      </c>
      <c r="K35" s="5">
        <v>2</v>
      </c>
      <c r="L35" s="5">
        <f t="shared" si="8"/>
        <v>25</v>
      </c>
      <c r="M35" s="5">
        <f t="shared" si="9"/>
        <v>3.57142857142857</v>
      </c>
    </row>
    <row r="36" ht="30" customHeight="1" spans="1:13">
      <c r="A36" s="5">
        <v>4</v>
      </c>
      <c r="B36" s="6" t="s">
        <v>90</v>
      </c>
      <c r="C36" s="6" t="s">
        <v>91</v>
      </c>
      <c r="D36" s="6" t="s">
        <v>92</v>
      </c>
      <c r="E36" s="5">
        <v>10</v>
      </c>
      <c r="F36" s="5">
        <v>4</v>
      </c>
      <c r="G36" s="5">
        <v>9</v>
      </c>
      <c r="H36" s="5">
        <v>2</v>
      </c>
      <c r="I36" s="5">
        <v>5</v>
      </c>
      <c r="J36" s="5">
        <v>3</v>
      </c>
      <c r="K36" s="5">
        <v>1</v>
      </c>
      <c r="L36" s="5">
        <f t="shared" si="8"/>
        <v>34</v>
      </c>
      <c r="M36" s="5">
        <f t="shared" si="9"/>
        <v>4.85714285714286</v>
      </c>
    </row>
    <row r="37" ht="30" customHeight="1" spans="1:13">
      <c r="A37" s="5">
        <v>5</v>
      </c>
      <c r="B37" s="6" t="s">
        <v>93</v>
      </c>
      <c r="C37" s="6" t="s">
        <v>94</v>
      </c>
      <c r="D37" s="6" t="s">
        <v>95</v>
      </c>
      <c r="E37" s="5">
        <v>8</v>
      </c>
      <c r="F37" s="5">
        <v>4</v>
      </c>
      <c r="G37" s="5">
        <v>2</v>
      </c>
      <c r="H37" s="5">
        <v>4</v>
      </c>
      <c r="I37" s="5">
        <v>8</v>
      </c>
      <c r="J37" s="5">
        <v>1</v>
      </c>
      <c r="K37" s="5">
        <v>1</v>
      </c>
      <c r="L37" s="5">
        <f t="shared" si="8"/>
        <v>28</v>
      </c>
      <c r="M37" s="5">
        <f t="shared" si="9"/>
        <v>4</v>
      </c>
    </row>
    <row r="38" ht="30" customHeight="1" spans="1:13">
      <c r="A38" s="5">
        <v>6</v>
      </c>
      <c r="B38" s="6" t="s">
        <v>96</v>
      </c>
      <c r="C38" s="6" t="s">
        <v>97</v>
      </c>
      <c r="D38" s="6" t="s">
        <v>98</v>
      </c>
      <c r="E38" s="5">
        <v>1</v>
      </c>
      <c r="F38" s="5">
        <v>3</v>
      </c>
      <c r="G38" s="5">
        <v>7</v>
      </c>
      <c r="H38" s="5">
        <v>4</v>
      </c>
      <c r="I38" s="5">
        <v>5</v>
      </c>
      <c r="J38" s="5">
        <v>2</v>
      </c>
      <c r="K38" s="5">
        <v>3</v>
      </c>
      <c r="L38" s="5">
        <f t="shared" si="8"/>
        <v>25</v>
      </c>
      <c r="M38" s="5">
        <f t="shared" si="9"/>
        <v>3.57142857142857</v>
      </c>
    </row>
    <row r="39" ht="30" customHeight="1" spans="1:13">
      <c r="A39" s="5">
        <v>7</v>
      </c>
      <c r="B39" s="6" t="s">
        <v>99</v>
      </c>
      <c r="C39" s="6" t="s">
        <v>100</v>
      </c>
      <c r="D39" s="6" t="s">
        <v>101</v>
      </c>
      <c r="E39" s="5">
        <v>1</v>
      </c>
      <c r="F39" s="5">
        <v>3</v>
      </c>
      <c r="G39" s="5">
        <v>1</v>
      </c>
      <c r="H39" s="5">
        <v>3</v>
      </c>
      <c r="I39" s="5">
        <v>2</v>
      </c>
      <c r="J39" s="5">
        <v>4</v>
      </c>
      <c r="K39" s="5">
        <v>1</v>
      </c>
      <c r="L39" s="5">
        <f t="shared" si="8"/>
        <v>15</v>
      </c>
      <c r="M39" s="5">
        <f t="shared" si="9"/>
        <v>2.14285714285714</v>
      </c>
    </row>
    <row r="40" ht="30" customHeight="1" spans="1:13">
      <c r="A40" s="5">
        <v>8</v>
      </c>
      <c r="B40" s="6" t="s">
        <v>102</v>
      </c>
      <c r="C40" s="6" t="s">
        <v>103</v>
      </c>
      <c r="D40" s="6" t="s">
        <v>104</v>
      </c>
      <c r="E40" s="5">
        <v>1</v>
      </c>
      <c r="F40" s="5">
        <v>4</v>
      </c>
      <c r="G40" s="5">
        <v>1</v>
      </c>
      <c r="H40" s="5">
        <v>2</v>
      </c>
      <c r="I40" s="5">
        <v>4</v>
      </c>
      <c r="J40" s="5">
        <v>3</v>
      </c>
      <c r="K40" s="5">
        <v>3</v>
      </c>
      <c r="L40" s="5">
        <f t="shared" si="8"/>
        <v>18</v>
      </c>
      <c r="M40" s="5">
        <f t="shared" si="9"/>
        <v>2.57142857142857</v>
      </c>
    </row>
    <row r="41" ht="30" customHeight="1" spans="1:13">
      <c r="A41" s="5">
        <v>9</v>
      </c>
      <c r="B41" s="6" t="s">
        <v>105</v>
      </c>
      <c r="C41" s="6" t="s">
        <v>106</v>
      </c>
      <c r="D41" s="6" t="s">
        <v>107</v>
      </c>
      <c r="E41" s="5">
        <v>1</v>
      </c>
      <c r="F41" s="5">
        <v>4</v>
      </c>
      <c r="G41" s="5">
        <v>8</v>
      </c>
      <c r="H41" s="5">
        <v>3</v>
      </c>
      <c r="I41" s="5">
        <v>6</v>
      </c>
      <c r="J41" s="5">
        <v>7</v>
      </c>
      <c r="K41" s="5">
        <v>4</v>
      </c>
      <c r="L41" s="5">
        <f t="shared" si="8"/>
        <v>33</v>
      </c>
      <c r="M41" s="5">
        <f t="shared" si="9"/>
        <v>4.71428571428571</v>
      </c>
    </row>
    <row r="42" ht="30" customHeight="1" spans="1:13">
      <c r="A42" s="5">
        <v>10</v>
      </c>
      <c r="B42" s="6" t="s">
        <v>99</v>
      </c>
      <c r="C42" s="6" t="s">
        <v>100</v>
      </c>
      <c r="D42" s="6" t="s">
        <v>101</v>
      </c>
      <c r="E42" s="5">
        <v>10</v>
      </c>
      <c r="F42" s="5">
        <v>8</v>
      </c>
      <c r="G42" s="5">
        <v>1</v>
      </c>
      <c r="H42" s="5">
        <v>2</v>
      </c>
      <c r="I42" s="5">
        <v>1</v>
      </c>
      <c r="J42" s="5">
        <v>2</v>
      </c>
      <c r="K42" s="5">
        <v>1</v>
      </c>
      <c r="L42" s="5">
        <f t="shared" si="8"/>
        <v>25</v>
      </c>
      <c r="M42" s="5">
        <f t="shared" si="9"/>
        <v>3.57142857142857</v>
      </c>
    </row>
    <row r="43" ht="15" spans="1:13">
      <c r="A43" s="7" t="s">
        <v>53</v>
      </c>
      <c r="B43" s="7"/>
      <c r="C43" s="7"/>
      <c r="D43" s="7"/>
      <c r="E43" s="5">
        <f>SUM(E33:E42)</f>
        <v>42</v>
      </c>
      <c r="F43" s="5">
        <f t="shared" ref="F43:K43" si="10">SUM(F33:F42)</f>
        <v>49</v>
      </c>
      <c r="G43" s="5">
        <f t="shared" si="10"/>
        <v>57</v>
      </c>
      <c r="H43" s="5">
        <f t="shared" si="10"/>
        <v>35</v>
      </c>
      <c r="I43" s="5">
        <f t="shared" si="10"/>
        <v>44</v>
      </c>
      <c r="J43" s="5">
        <f t="shared" si="10"/>
        <v>28</v>
      </c>
      <c r="K43" s="5">
        <f t="shared" si="10"/>
        <v>22</v>
      </c>
      <c r="L43" s="5">
        <f t="shared" si="8"/>
        <v>277</v>
      </c>
      <c r="M43" s="5">
        <f t="shared" si="9"/>
        <v>39.5714285714286</v>
      </c>
    </row>
    <row r="44" ht="15" spans="1:13">
      <c r="A44" s="7" t="s">
        <v>54</v>
      </c>
      <c r="B44" s="7"/>
      <c r="C44" s="7"/>
      <c r="D44" s="7"/>
      <c r="E44" s="5">
        <f>E43/10</f>
        <v>4.2</v>
      </c>
      <c r="F44" s="5">
        <f t="shared" ref="F44:K44" si="11">F43/10</f>
        <v>4.9</v>
      </c>
      <c r="G44" s="5">
        <f t="shared" si="11"/>
        <v>5.7</v>
      </c>
      <c r="H44" s="5">
        <f t="shared" si="11"/>
        <v>3.5</v>
      </c>
      <c r="I44" s="5">
        <f t="shared" si="11"/>
        <v>4.4</v>
      </c>
      <c r="J44" s="5">
        <f t="shared" si="11"/>
        <v>2.8</v>
      </c>
      <c r="K44" s="5">
        <f t="shared" si="11"/>
        <v>2.2</v>
      </c>
      <c r="L44" s="5">
        <f t="shared" si="8"/>
        <v>27.7</v>
      </c>
      <c r="M44" s="5">
        <f t="shared" si="9"/>
        <v>3.95714285714286</v>
      </c>
    </row>
    <row r="45" ht="15" spans="1:13">
      <c r="A45" s="7" t="s">
        <v>108</v>
      </c>
      <c r="B45" s="10" t="s">
        <v>109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ht="15" spans="1:13">
      <c r="A46" s="8" t="s">
        <v>110</v>
      </c>
      <c r="B46" s="8"/>
    </row>
    <row r="47" ht="15" spans="1:13">
      <c r="A47" s="3" t="s">
        <v>1</v>
      </c>
      <c r="B47" s="3" t="s">
        <v>2</v>
      </c>
      <c r="C47" s="4" t="s">
        <v>3</v>
      </c>
      <c r="D47" s="4" t="s">
        <v>4</v>
      </c>
      <c r="E47" s="3" t="s">
        <v>168</v>
      </c>
      <c r="F47" s="3"/>
      <c r="G47" s="3"/>
      <c r="H47" s="3"/>
      <c r="I47" s="3"/>
      <c r="J47" s="3"/>
      <c r="K47" s="3"/>
      <c r="L47" s="3"/>
      <c r="M47" s="3"/>
    </row>
    <row r="48" ht="46" customHeight="1" spans="1:13">
      <c r="A48" s="5">
        <v>1</v>
      </c>
      <c r="B48" s="6" t="s">
        <v>111</v>
      </c>
      <c r="C48" s="6" t="s">
        <v>112</v>
      </c>
      <c r="D48" s="6" t="s">
        <v>113</v>
      </c>
      <c r="E48" s="5">
        <v>10</v>
      </c>
      <c r="F48" s="5">
        <v>3</v>
      </c>
      <c r="G48" s="5">
        <v>7</v>
      </c>
      <c r="H48" s="5">
        <v>6</v>
      </c>
      <c r="I48" s="5">
        <v>6</v>
      </c>
      <c r="J48" s="5">
        <v>7</v>
      </c>
      <c r="K48" s="5">
        <v>1</v>
      </c>
      <c r="L48" s="5">
        <f>SUM(E48:K48)</f>
        <v>40</v>
      </c>
      <c r="M48" s="5">
        <f>L48/7</f>
        <v>5.71428571428571</v>
      </c>
    </row>
    <row r="49" ht="46" customHeight="1" spans="1:13">
      <c r="A49" s="5">
        <v>2</v>
      </c>
      <c r="B49" s="6" t="s">
        <v>114</v>
      </c>
      <c r="C49" s="6" t="s">
        <v>115</v>
      </c>
      <c r="D49" s="6" t="s">
        <v>116</v>
      </c>
      <c r="E49" s="5">
        <v>1</v>
      </c>
      <c r="F49" s="5">
        <v>4</v>
      </c>
      <c r="G49" s="5">
        <v>10</v>
      </c>
      <c r="H49" s="5">
        <v>6</v>
      </c>
      <c r="I49" s="5">
        <v>2</v>
      </c>
      <c r="J49" s="5">
        <v>1</v>
      </c>
      <c r="K49" s="5">
        <v>1</v>
      </c>
      <c r="L49" s="5">
        <f t="shared" ref="L49:L57" si="12">SUM(E49:K49)</f>
        <v>25</v>
      </c>
      <c r="M49" s="5">
        <f t="shared" ref="M49:M57" si="13">L49/7</f>
        <v>3.57142857142857</v>
      </c>
    </row>
    <row r="50" ht="46" customHeight="1" spans="1:13">
      <c r="A50" s="5">
        <v>3</v>
      </c>
      <c r="B50" s="6" t="s">
        <v>117</v>
      </c>
      <c r="C50" s="6" t="s">
        <v>118</v>
      </c>
      <c r="D50" s="6" t="s">
        <v>119</v>
      </c>
      <c r="E50" s="5">
        <v>1</v>
      </c>
      <c r="F50" s="5">
        <v>4</v>
      </c>
      <c r="G50" s="5">
        <v>5</v>
      </c>
      <c r="H50" s="5">
        <v>8</v>
      </c>
      <c r="I50" s="5">
        <v>2</v>
      </c>
      <c r="J50" s="5">
        <v>1</v>
      </c>
      <c r="K50" s="5">
        <v>1</v>
      </c>
      <c r="L50" s="5">
        <f t="shared" si="12"/>
        <v>22</v>
      </c>
      <c r="M50" s="5">
        <f t="shared" si="13"/>
        <v>3.14285714285714</v>
      </c>
    </row>
    <row r="51" ht="46" customHeight="1" spans="1:13">
      <c r="A51" s="5">
        <v>4</v>
      </c>
      <c r="B51" s="6" t="s">
        <v>120</v>
      </c>
      <c r="C51" s="6" t="s">
        <v>121</v>
      </c>
      <c r="D51" s="6" t="s">
        <v>122</v>
      </c>
      <c r="E51" s="5">
        <v>1</v>
      </c>
      <c r="F51" s="5">
        <v>3</v>
      </c>
      <c r="G51" s="5">
        <v>10</v>
      </c>
      <c r="H51" s="5">
        <v>3</v>
      </c>
      <c r="I51" s="5">
        <v>1</v>
      </c>
      <c r="J51" s="5">
        <v>1</v>
      </c>
      <c r="K51" s="5">
        <v>1</v>
      </c>
      <c r="L51" s="5">
        <f t="shared" si="12"/>
        <v>20</v>
      </c>
      <c r="M51" s="5">
        <f t="shared" si="13"/>
        <v>2.85714285714286</v>
      </c>
    </row>
    <row r="52" ht="46" customHeight="1" spans="1:13">
      <c r="A52" s="5">
        <v>5</v>
      </c>
      <c r="B52" s="6" t="s">
        <v>123</v>
      </c>
      <c r="C52" s="6" t="s">
        <v>124</v>
      </c>
      <c r="D52" s="6" t="s">
        <v>125</v>
      </c>
      <c r="E52" s="5">
        <v>1</v>
      </c>
      <c r="F52" s="5">
        <v>4</v>
      </c>
      <c r="G52" s="5">
        <v>7</v>
      </c>
      <c r="H52" s="5">
        <v>4</v>
      </c>
      <c r="I52" s="5">
        <v>7</v>
      </c>
      <c r="J52" s="5">
        <v>8</v>
      </c>
      <c r="K52" s="5">
        <v>7</v>
      </c>
      <c r="L52" s="5">
        <f t="shared" si="12"/>
        <v>38</v>
      </c>
      <c r="M52" s="5">
        <f t="shared" si="13"/>
        <v>5.42857142857143</v>
      </c>
    </row>
    <row r="53" ht="46" customHeight="1" spans="1:13">
      <c r="A53" s="5">
        <v>6</v>
      </c>
      <c r="B53" s="6" t="s">
        <v>126</v>
      </c>
      <c r="C53" s="6" t="s">
        <v>127</v>
      </c>
      <c r="D53" s="6" t="s">
        <v>128</v>
      </c>
      <c r="E53" s="5">
        <v>8</v>
      </c>
      <c r="F53" s="5">
        <v>3</v>
      </c>
      <c r="G53" s="5">
        <v>5</v>
      </c>
      <c r="H53" s="5">
        <v>4</v>
      </c>
      <c r="I53" s="5">
        <v>5</v>
      </c>
      <c r="J53" s="5">
        <v>2</v>
      </c>
      <c r="K53" s="5">
        <v>2</v>
      </c>
      <c r="L53" s="5">
        <f t="shared" si="12"/>
        <v>29</v>
      </c>
      <c r="M53" s="5">
        <f t="shared" si="13"/>
        <v>4.14285714285714</v>
      </c>
    </row>
    <row r="54" ht="46" customHeight="1" spans="1:13">
      <c r="A54" s="5">
        <v>7</v>
      </c>
      <c r="B54" s="6" t="s">
        <v>129</v>
      </c>
      <c r="C54" s="6" t="s">
        <v>130</v>
      </c>
      <c r="D54" s="6" t="s">
        <v>131</v>
      </c>
      <c r="E54" s="5">
        <v>1</v>
      </c>
      <c r="F54" s="5">
        <v>3</v>
      </c>
      <c r="G54" s="5">
        <v>10</v>
      </c>
      <c r="H54" s="5">
        <v>4</v>
      </c>
      <c r="I54" s="5">
        <v>2</v>
      </c>
      <c r="J54" s="5">
        <v>6</v>
      </c>
      <c r="K54" s="5">
        <v>2</v>
      </c>
      <c r="L54" s="5">
        <f t="shared" si="12"/>
        <v>28</v>
      </c>
      <c r="M54" s="5">
        <f t="shared" si="13"/>
        <v>4</v>
      </c>
    </row>
    <row r="55" ht="46" customHeight="1" spans="1:13">
      <c r="A55" s="5">
        <v>8</v>
      </c>
      <c r="B55" s="6" t="s">
        <v>132</v>
      </c>
      <c r="C55" s="6" t="s">
        <v>133</v>
      </c>
      <c r="D55" s="6" t="s">
        <v>134</v>
      </c>
      <c r="E55" s="5">
        <v>10</v>
      </c>
      <c r="F55" s="5">
        <v>4</v>
      </c>
      <c r="G55" s="5">
        <v>8</v>
      </c>
      <c r="H55" s="5">
        <v>5</v>
      </c>
      <c r="I55" s="5">
        <v>4</v>
      </c>
      <c r="J55" s="5">
        <v>2</v>
      </c>
      <c r="K55" s="5">
        <v>2</v>
      </c>
      <c r="L55" s="5">
        <f t="shared" si="12"/>
        <v>35</v>
      </c>
      <c r="M55" s="5">
        <f t="shared" si="13"/>
        <v>5</v>
      </c>
    </row>
    <row r="56" ht="15" spans="1:13">
      <c r="A56" s="7" t="s">
        <v>53</v>
      </c>
      <c r="B56" s="7"/>
      <c r="C56" s="7"/>
      <c r="D56" s="7"/>
      <c r="E56" s="5">
        <f>SUM(E48:E55)</f>
        <v>33</v>
      </c>
      <c r="F56" s="5">
        <f t="shared" ref="F56:K56" si="14">SUM(F48:F55)</f>
        <v>28</v>
      </c>
      <c r="G56" s="5">
        <f t="shared" si="14"/>
        <v>62</v>
      </c>
      <c r="H56" s="5">
        <f t="shared" si="14"/>
        <v>40</v>
      </c>
      <c r="I56" s="5">
        <f t="shared" si="14"/>
        <v>29</v>
      </c>
      <c r="J56" s="5">
        <f t="shared" si="14"/>
        <v>28</v>
      </c>
      <c r="K56" s="5">
        <f t="shared" si="14"/>
        <v>17</v>
      </c>
      <c r="L56" s="5">
        <f t="shared" si="12"/>
        <v>237</v>
      </c>
      <c r="M56" s="5">
        <f t="shared" si="13"/>
        <v>33.8571428571429</v>
      </c>
    </row>
    <row r="57" ht="15" spans="1:13">
      <c r="A57" s="7" t="s">
        <v>54</v>
      </c>
      <c r="B57" s="7"/>
      <c r="C57" s="7"/>
      <c r="D57" s="7"/>
      <c r="E57" s="5">
        <f>E56/8</f>
        <v>4.125</v>
      </c>
      <c r="F57" s="5">
        <f t="shared" ref="F57:K57" si="15">F56/8</f>
        <v>3.5</v>
      </c>
      <c r="G57" s="5">
        <f t="shared" si="15"/>
        <v>7.75</v>
      </c>
      <c r="H57" s="5">
        <f t="shared" si="15"/>
        <v>5</v>
      </c>
      <c r="I57" s="5">
        <f t="shared" si="15"/>
        <v>3.625</v>
      </c>
      <c r="J57" s="5">
        <f t="shared" si="15"/>
        <v>3.5</v>
      </c>
      <c r="K57" s="5">
        <f t="shared" si="15"/>
        <v>2.125</v>
      </c>
      <c r="L57" s="5">
        <f t="shared" si="12"/>
        <v>29.625</v>
      </c>
      <c r="M57" s="5">
        <f t="shared" si="13"/>
        <v>4.23214285714286</v>
      </c>
    </row>
    <row r="58" ht="15" spans="1:13">
      <c r="A58" s="8" t="s">
        <v>135</v>
      </c>
      <c r="B58" s="8"/>
    </row>
    <row r="59" ht="15" spans="1:13">
      <c r="A59" s="3" t="s">
        <v>1</v>
      </c>
      <c r="B59" s="3" t="s">
        <v>2</v>
      </c>
      <c r="C59" s="4" t="s">
        <v>3</v>
      </c>
      <c r="D59" s="4" t="s">
        <v>4</v>
      </c>
      <c r="E59" s="3" t="s">
        <v>168</v>
      </c>
      <c r="F59" s="3"/>
      <c r="G59" s="3"/>
      <c r="H59" s="3"/>
      <c r="I59" s="3">
        <v>1</v>
      </c>
      <c r="J59" s="3"/>
      <c r="K59" s="3"/>
      <c r="L59" s="3"/>
      <c r="M59" s="3"/>
    </row>
    <row r="60" ht="34" customHeight="1" spans="1:13">
      <c r="A60" s="5">
        <v>1</v>
      </c>
      <c r="B60" s="6" t="s">
        <v>136</v>
      </c>
      <c r="C60" s="6" t="s">
        <v>137</v>
      </c>
      <c r="D60" s="6" t="s">
        <v>138</v>
      </c>
      <c r="E60" s="5">
        <v>1</v>
      </c>
      <c r="F60" s="5">
        <v>8</v>
      </c>
      <c r="G60" s="5">
        <v>3</v>
      </c>
      <c r="H60" s="5">
        <v>8</v>
      </c>
      <c r="I60" s="5">
        <v>1</v>
      </c>
      <c r="J60" s="5">
        <v>0</v>
      </c>
      <c r="K60" s="5">
        <v>6</v>
      </c>
      <c r="L60" s="5">
        <f>SUM(E60:K60)</f>
        <v>27</v>
      </c>
      <c r="M60" s="5">
        <f>L60/7</f>
        <v>3.85714285714286</v>
      </c>
    </row>
    <row r="61" ht="34" customHeight="1" spans="1:13">
      <c r="A61" s="5">
        <v>2</v>
      </c>
      <c r="B61" s="6" t="s">
        <v>139</v>
      </c>
      <c r="C61" s="6" t="s">
        <v>140</v>
      </c>
      <c r="D61" s="6" t="s">
        <v>141</v>
      </c>
      <c r="E61" s="5">
        <v>1</v>
      </c>
      <c r="F61" s="5">
        <v>4</v>
      </c>
      <c r="G61" s="5">
        <v>5</v>
      </c>
      <c r="H61" s="5">
        <v>4</v>
      </c>
      <c r="I61" s="5">
        <v>0</v>
      </c>
      <c r="J61" s="5">
        <v>0</v>
      </c>
      <c r="K61" s="5">
        <v>6</v>
      </c>
      <c r="L61" s="5">
        <f t="shared" ref="L61:L67" si="16">SUM(E61:K61)</f>
        <v>20</v>
      </c>
      <c r="M61" s="5">
        <f t="shared" ref="M61:M67" si="17">L61/7</f>
        <v>2.85714285714286</v>
      </c>
    </row>
    <row r="62" ht="34" customHeight="1" spans="1:13">
      <c r="A62" s="5">
        <v>3</v>
      </c>
      <c r="B62" s="6" t="s">
        <v>142</v>
      </c>
      <c r="C62" s="6" t="s">
        <v>143</v>
      </c>
      <c r="D62" s="6" t="s">
        <v>144</v>
      </c>
      <c r="E62" s="5">
        <v>1</v>
      </c>
      <c r="F62" s="5">
        <v>7</v>
      </c>
      <c r="G62" s="5">
        <v>10</v>
      </c>
      <c r="H62" s="5">
        <v>9</v>
      </c>
      <c r="I62" s="5">
        <v>0</v>
      </c>
      <c r="J62" s="5">
        <v>0</v>
      </c>
      <c r="K62" s="5">
        <v>7</v>
      </c>
      <c r="L62" s="5">
        <f t="shared" si="16"/>
        <v>34</v>
      </c>
      <c r="M62" s="5">
        <f t="shared" si="17"/>
        <v>4.85714285714286</v>
      </c>
    </row>
    <row r="63" ht="34" customHeight="1" spans="1:13">
      <c r="A63" s="5">
        <v>4</v>
      </c>
      <c r="B63" s="6" t="s">
        <v>145</v>
      </c>
      <c r="C63" s="6" t="s">
        <v>146</v>
      </c>
      <c r="D63" s="6" t="s">
        <v>147</v>
      </c>
      <c r="E63" s="5">
        <v>1</v>
      </c>
      <c r="F63" s="5">
        <v>7</v>
      </c>
      <c r="G63" s="5">
        <v>2</v>
      </c>
      <c r="H63" s="5">
        <v>4</v>
      </c>
      <c r="I63" s="5">
        <v>0</v>
      </c>
      <c r="J63" s="5">
        <v>0</v>
      </c>
      <c r="K63" s="5">
        <v>2</v>
      </c>
      <c r="L63" s="5">
        <f t="shared" si="16"/>
        <v>16</v>
      </c>
      <c r="M63" s="5">
        <f t="shared" si="17"/>
        <v>2.28571428571429</v>
      </c>
    </row>
    <row r="64" ht="34" customHeight="1" spans="1:13">
      <c r="A64" s="5">
        <v>5</v>
      </c>
      <c r="B64" s="6" t="s">
        <v>148</v>
      </c>
      <c r="C64" s="6" t="s">
        <v>149</v>
      </c>
      <c r="D64" s="6" t="s">
        <v>150</v>
      </c>
      <c r="E64" s="5">
        <v>8</v>
      </c>
      <c r="F64" s="5">
        <v>8</v>
      </c>
      <c r="G64" s="5">
        <v>10</v>
      </c>
      <c r="H64" s="5">
        <v>3</v>
      </c>
      <c r="I64" s="5">
        <v>1</v>
      </c>
      <c r="J64" s="5">
        <v>0</v>
      </c>
      <c r="K64" s="5">
        <v>2</v>
      </c>
      <c r="L64" s="5">
        <f t="shared" si="16"/>
        <v>32</v>
      </c>
      <c r="M64" s="5">
        <f t="shared" si="17"/>
        <v>4.57142857142857</v>
      </c>
    </row>
    <row r="65" ht="34" customHeight="1" spans="1:13">
      <c r="A65" s="5">
        <v>6</v>
      </c>
      <c r="B65" s="6" t="s">
        <v>151</v>
      </c>
      <c r="C65" s="6" t="s">
        <v>152</v>
      </c>
      <c r="D65" s="6" t="s">
        <v>153</v>
      </c>
      <c r="E65" s="5">
        <v>1</v>
      </c>
      <c r="F65" s="5">
        <v>4</v>
      </c>
      <c r="G65" s="5">
        <v>4</v>
      </c>
      <c r="H65" s="5">
        <v>4</v>
      </c>
      <c r="I65" s="5">
        <v>0</v>
      </c>
      <c r="J65" s="5">
        <v>0</v>
      </c>
      <c r="K65" s="5">
        <v>2</v>
      </c>
      <c r="L65" s="5">
        <f t="shared" si="16"/>
        <v>15</v>
      </c>
      <c r="M65" s="5">
        <f t="shared" si="17"/>
        <v>2.14285714285714</v>
      </c>
    </row>
    <row r="66" ht="15" spans="1:13">
      <c r="A66" s="7" t="s">
        <v>53</v>
      </c>
      <c r="B66" s="7"/>
      <c r="C66" s="7"/>
      <c r="D66" s="7"/>
      <c r="E66" s="5">
        <f>SUM(E60:E65)</f>
        <v>13</v>
      </c>
      <c r="F66" s="5">
        <f t="shared" ref="F66:K66" si="18">SUM(F60:F65)</f>
        <v>38</v>
      </c>
      <c r="G66" s="5">
        <f t="shared" si="18"/>
        <v>34</v>
      </c>
      <c r="H66" s="5">
        <f t="shared" si="18"/>
        <v>32</v>
      </c>
      <c r="I66" s="5">
        <f t="shared" si="18"/>
        <v>2</v>
      </c>
      <c r="J66" s="5">
        <f t="shared" si="18"/>
        <v>0</v>
      </c>
      <c r="K66" s="5">
        <f t="shared" si="18"/>
        <v>25</v>
      </c>
      <c r="L66" s="5">
        <f t="shared" si="16"/>
        <v>144</v>
      </c>
      <c r="M66" s="5">
        <f t="shared" si="17"/>
        <v>20.5714285714286</v>
      </c>
    </row>
    <row r="67" ht="15" spans="1:13">
      <c r="A67" s="7" t="s">
        <v>54</v>
      </c>
      <c r="B67" s="7"/>
      <c r="C67" s="7"/>
      <c r="D67" s="7"/>
      <c r="E67" s="5">
        <f>E66/6</f>
        <v>2.16666666666667</v>
      </c>
      <c r="F67" s="5">
        <f t="shared" ref="F67:K67" si="19">F66/6</f>
        <v>6.33333333333333</v>
      </c>
      <c r="G67" s="5">
        <f t="shared" si="19"/>
        <v>5.66666666666667</v>
      </c>
      <c r="H67" s="5">
        <f t="shared" si="19"/>
        <v>5.33333333333333</v>
      </c>
      <c r="I67" s="5">
        <f t="shared" si="19"/>
        <v>0.333333333333333</v>
      </c>
      <c r="J67" s="5">
        <f t="shared" si="19"/>
        <v>0</v>
      </c>
      <c r="K67" s="5">
        <f t="shared" si="19"/>
        <v>4.16666666666667</v>
      </c>
      <c r="L67" s="5">
        <f t="shared" si="16"/>
        <v>24</v>
      </c>
      <c r="M67" s="5">
        <f t="shared" si="17"/>
        <v>3.42857142857143</v>
      </c>
    </row>
    <row r="70" spans="1:13">
      <c r="A70" s="11" t="s">
        <v>154</v>
      </c>
      <c r="B70" s="11" t="s">
        <v>54</v>
      </c>
      <c r="C70" s="11" t="s">
        <v>108</v>
      </c>
      <c r="D70" s="12"/>
    </row>
    <row r="71" ht="29" customHeight="1" spans="1:13">
      <c r="A71" s="13" t="s">
        <v>155</v>
      </c>
      <c r="B71" s="13">
        <v>3.9</v>
      </c>
      <c r="C71" s="14" t="s">
        <v>178</v>
      </c>
      <c r="D71" s="14"/>
    </row>
    <row r="72" ht="40" customHeight="1" spans="1:13">
      <c r="A72" s="13" t="s">
        <v>157</v>
      </c>
      <c r="B72" s="13">
        <v>3.5</v>
      </c>
      <c r="C72" s="14" t="s">
        <v>179</v>
      </c>
      <c r="D72" s="14"/>
    </row>
    <row r="73" ht="27" customHeight="1" spans="1:13">
      <c r="A73" s="13" t="s">
        <v>159</v>
      </c>
      <c r="B73" s="15">
        <v>4</v>
      </c>
      <c r="C73" s="16" t="s">
        <v>180</v>
      </c>
      <c r="D73" s="16"/>
    </row>
    <row r="74" ht="33" customHeight="1" spans="1:13">
      <c r="A74" s="13" t="s">
        <v>161</v>
      </c>
      <c r="B74" s="13">
        <v>4.2</v>
      </c>
      <c r="C74" s="14" t="s">
        <v>181</v>
      </c>
      <c r="D74" s="14"/>
    </row>
    <row r="75" ht="40" customHeight="1" spans="1:13">
      <c r="A75" s="13" t="s">
        <v>163</v>
      </c>
      <c r="B75" s="13">
        <v>3.4</v>
      </c>
      <c r="C75" s="16" t="s">
        <v>173</v>
      </c>
      <c r="D75" s="16"/>
    </row>
    <row r="76" spans="1:13">
      <c r="A76" s="13" t="s">
        <v>165</v>
      </c>
      <c r="B76" s="13">
        <f>AVERAGE(B71:B75)</f>
        <v>3.8</v>
      </c>
      <c r="C76" s="16"/>
      <c r="D76" s="16"/>
    </row>
  </sheetData>
  <mergeCells count="23">
    <mergeCell ref="A1:B1"/>
    <mergeCell ref="A16:D16"/>
    <mergeCell ref="A17:D17"/>
    <mergeCell ref="A18:B18"/>
    <mergeCell ref="A28:D28"/>
    <mergeCell ref="A29:D29"/>
    <mergeCell ref="A31:B31"/>
    <mergeCell ref="A43:D43"/>
    <mergeCell ref="A44:D44"/>
    <mergeCell ref="B45:K45"/>
    <mergeCell ref="A46:B46"/>
    <mergeCell ref="A56:D56"/>
    <mergeCell ref="A57:D57"/>
    <mergeCell ref="A58:B58"/>
    <mergeCell ref="A66:D66"/>
    <mergeCell ref="A67:D67"/>
    <mergeCell ref="C70:D70"/>
    <mergeCell ref="C71:D71"/>
    <mergeCell ref="C72:D72"/>
    <mergeCell ref="C73:D73"/>
    <mergeCell ref="C74:D74"/>
    <mergeCell ref="C75:D75"/>
    <mergeCell ref="C76:D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水母</vt:lpstr>
      <vt:lpstr>白鲸</vt:lpstr>
      <vt:lpstr>企鹅</vt:lpstr>
      <vt:lpstr>雨林海豚湾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小小小瓶子</cp:lastModifiedBy>
  <dcterms:created xsi:type="dcterms:W3CDTF">2026-03-18T05:47:00Z</dcterms:created>
  <dcterms:modified xsi:type="dcterms:W3CDTF">2026-03-18T08:52:18Z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04268A453010445F8E2B3E22B6CA0904_13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